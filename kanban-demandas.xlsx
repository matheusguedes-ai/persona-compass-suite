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nban" sheetId="1" state="visible" r:id="rId1"/>
    <sheet name="Demandas" sheetId="2" state="visible" r:id="rId2"/>
    <sheet name="Como usar" sheetId="3" state="visible" r:id="rId3"/>
  </sheets>
  <definedNames>
    <definedName name="_xlnm._FilterDatabase" localSheetId="1" hidden="1">'Demandas'!$A$1:$I$271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b val="1"/>
      <sz val="14"/>
    </font>
    <font>
      <i val="1"/>
      <color rgb="00667085"/>
      <sz val="10"/>
    </font>
    <font>
      <b val="1"/>
      <color rgb="003C4257"/>
      <sz val="12"/>
    </font>
    <font>
      <b val="1"/>
      <color rgb="007A5B00"/>
      <sz val="12"/>
    </font>
    <font>
      <b val="1"/>
      <color rgb="001B5E20"/>
      <sz val="12"/>
    </font>
    <font>
      <b val="1"/>
      <color rgb="008C2A1C"/>
      <sz val="12"/>
    </font>
    <font>
      <b val="1"/>
      <sz val="12"/>
    </font>
    <font>
      <sz val="10"/>
    </font>
  </fonts>
  <fills count="7">
    <fill>
      <patternFill/>
    </fill>
    <fill>
      <patternFill patternType="gray125"/>
    </fill>
    <fill>
      <patternFill patternType="solid">
        <fgColor rgb="001F2937"/>
      </patternFill>
    </fill>
    <fill>
      <patternFill patternType="solid">
        <fgColor rgb="00E8EAF0"/>
      </patternFill>
    </fill>
    <fill>
      <patternFill patternType="solid">
        <fgColor rgb="00FFF0CC"/>
      </patternFill>
    </fill>
    <fill>
      <patternFill patternType="solid">
        <fgColor rgb="00D9F0DC"/>
      </patternFill>
    </fill>
    <fill>
      <patternFill patternType="solid">
        <fgColor rgb="00FBDDD8"/>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5" fillId="4" borderId="0" applyAlignment="1" pivotButton="0" quotePrefix="0" xfId="0">
      <alignment horizontal="center" vertical="center"/>
    </xf>
    <xf numFmtId="0" fontId="6" fillId="5" borderId="0" applyAlignment="1" pivotButton="0" quotePrefix="0" xfId="0">
      <alignment horizontal="center" vertical="center"/>
    </xf>
    <xf numFmtId="0" fontId="7" fillId="6"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horizontal="center" vertical="center"/>
    </xf>
    <xf numFmtId="0" fontId="0" fillId="0" borderId="1" applyAlignment="1" pivotButton="0" quotePrefix="0" xfId="0">
      <alignment vertical="top" wrapText="1"/>
    </xf>
    <xf numFmtId="0" fontId="8" fillId="0" borderId="0" applyAlignment="1" pivotButton="0" quotePrefix="0" xfId="0">
      <alignment vertical="center"/>
    </xf>
    <xf numFmtId="0" fontId="9" fillId="0" borderId="0" applyAlignment="1" pivotButton="0" quotePrefix="0" xfId="0">
      <alignment vertical="center"/>
    </xf>
  </cellXfs>
  <cellStyles count="1">
    <cellStyle name="Normal" xfId="0" builtinId="0" hidden="0"/>
  </cellStyles>
  <dxfs count="4">
    <dxf>
      <fill>
        <patternFill patternType="solid">
          <bgColor rgb="00E8EAF0"/>
        </patternFill>
      </fill>
    </dxf>
    <dxf>
      <fill>
        <patternFill patternType="solid">
          <bgColor rgb="00FFF0CC"/>
        </patternFill>
      </fill>
    </dxf>
    <dxf>
      <fill>
        <patternFill patternType="solid">
          <bgColor rgb="00D9F0DC"/>
        </patternFill>
      </fill>
    </dxf>
    <dxf>
      <fill>
        <patternFill patternType="solid">
          <bgColor rgb="00FBDD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46" customWidth="1" min="1" max="1"/>
    <col width="3" customWidth="1" min="2" max="2"/>
    <col width="46" customWidth="1" min="3" max="3"/>
    <col width="3" customWidth="1" min="4" max="4"/>
    <col width="46" customWidth="1" min="5" max="5"/>
    <col width="3" customWidth="1" min="6" max="6"/>
    <col width="46" customWidth="1" min="7" max="7"/>
    <col width="3" customWidth="1" min="8" max="8"/>
  </cols>
  <sheetData>
    <row r="1">
      <c r="A1" s="1" t="inlineStr">
        <is>
          <t>Quadro de demandas — Thrive Profiler</t>
        </is>
      </c>
    </row>
    <row r="2">
      <c r="A2" s="2" t="inlineStr">
        <is>
          <t>Este quadro se monta sozinho a partir da aba Demandas. Para mover um cartão, mude o Status lá — não digite aqui.</t>
        </is>
      </c>
    </row>
    <row r="4" ht="30" customHeight="1">
      <c r="A4" s="3">
        <f>"Planejado  ("&amp;COUNTIF(Demandas!$E:$E,"Planejado")&amp;")"</f>
        <v/>
      </c>
      <c r="C4" s="4">
        <f>"Em andamento  ("&amp;COUNTIF(Demandas!$E:$E,"Em andamento")&amp;")"</f>
        <v/>
      </c>
      <c r="E4" s="5">
        <f>"Concluído  ("&amp;COUNTIF(Demandas!$E:$E,"Concluído")&amp;")"</f>
        <v/>
      </c>
      <c r="G4" s="6">
        <f>"Precisa de melhorias  ("&amp;COUNTIF(Demandas!$E:$E,"Precisa de melhorias")&amp;")"</f>
        <v/>
      </c>
    </row>
    <row r="5">
      <c r="A5" s="7">
        <f>IFERROR(SORT(FILTER(Demandas!$B$2:$B$300&amp;" · "&amp;Demandas!$D$2:$D$300,Demandas!$E$2:$E$300="Planejado"),1,TRUE),"—")</f>
        <v/>
      </c>
      <c r="C5" s="7">
        <f>IFERROR(SORT(FILTER(Demandas!$B$2:$B$300&amp;" · "&amp;Demandas!$D$2:$D$300,Demandas!$E$2:$E$300="Em andamento"),1,TRUE),"—")</f>
        <v/>
      </c>
      <c r="E5" s="7">
        <f>IFERROR(SORT(FILTER(Demandas!$B$2:$B$300&amp;" · "&amp;Demandas!$D$2:$D$300,Demandas!$E$2:$E$300="Concluído"),1,TRUE),"—")</f>
        <v/>
      </c>
      <c r="G5" s="7">
        <f>IFERROR(SORT(FILTER(Demandas!$B$2:$B$300&amp;" · "&amp;Demandas!$D$2:$D$300,Demandas!$E$2:$E$300="Precisa de melhorias"),1,TRUE),"—")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62" customWidth="1" min="3" max="3"/>
    <col width="14" customWidth="1" min="4" max="4"/>
    <col width="20" customWidth="1" min="5" max="5"/>
    <col width="11" customWidth="1" min="6" max="6"/>
    <col width="16" customWidth="1" min="7" max="7"/>
    <col width="30" customWidth="1" min="8" max="8"/>
    <col width="52" customWidth="1" min="9" max="9"/>
  </cols>
  <sheetData>
    <row r="1" ht="26" customHeight="1">
      <c r="A1" s="8" t="inlineStr">
        <is>
          <t>#</t>
        </is>
      </c>
      <c r="B1" s="8" t="inlineStr">
        <is>
          <t>Demanda</t>
        </is>
      </c>
      <c r="C1" s="8" t="inlineStr">
        <is>
          <t>O que é</t>
        </is>
      </c>
      <c r="D1" s="8" t="inlineStr">
        <is>
          <t>Área</t>
        </is>
      </c>
      <c r="E1" s="8" t="inlineStr">
        <is>
          <t>Status</t>
        </is>
      </c>
      <c r="F1" s="8" t="inlineStr">
        <is>
          <t>Prioridade</t>
        </is>
      </c>
      <c r="G1" s="8" t="inlineStr">
        <is>
          <t>De quem depende</t>
        </is>
      </c>
      <c r="H1" s="8" t="inlineStr">
        <is>
          <t>Origem do pedido</t>
        </is>
      </c>
      <c r="I1" s="8" t="inlineStr">
        <is>
          <t>Prova / ressalva</t>
        </is>
      </c>
    </row>
    <row r="2">
      <c r="A2" s="9" t="n">
        <v>1</v>
      </c>
      <c r="B2" s="9" t="inlineStr">
        <is>
          <t>Vazamento do mentor afiliado no relatório por link</t>
        </is>
      </c>
      <c r="C2" s="9" t="inlineStr">
        <is>
          <t>A tela de relatório e a de plano de ação são públicas de propósito (o avaliado recebe o link por e-mail), mas são as MESMAS que o mentor logado abre dentro da plataforma. Elas nunca souberam distinguir os dois casos: um mentor convidado logado trocava o UUID na barra de endereço e via a resposta de qualquer pessoa da conta. No plano de ação dava até para sobrescrever o de outra pessoa (GET e POST).</t>
        </is>
      </c>
      <c r="D2" s="9" t="inlineStr">
        <is>
          <t>Infra</t>
        </is>
      </c>
      <c r="E2" s="9" t="inlineStr">
        <is>
          <t>Concluído</t>
        </is>
      </c>
      <c r="F2" s="9" t="n">
        <v>1</v>
      </c>
      <c r="G2" s="9" t="inlineStr">
        <is>
          <t>Claude</t>
        </is>
      </c>
      <c r="H2" s="9" t="inlineStr">
        <is>
          <t>docs/plano-area-do-aluno.md § Anexo 1, Risco a observar</t>
        </is>
      </c>
      <c r="I2" s="9" t="inlineStr">
        <is>
          <t>Fechado em 11a9253 (ponto de retorno em 2918f6e). podeVerPessoaAutenticado() em report.server.ts: sem sessão deixa passar (link público inalterado); com sessão monta cliente com o token de quem pediu e pergunta à policy de people — não reimplementa a regra. Aplicado em buildReport, buildBatteryReport e nas duas rotas do plano de ação. PROVADO com mentor convidado real em dois grupos: barrado fora do grupo, liberado dentro; dono e aluno inalterados; dados de teste apagados. RESSALVA: a checagem só roda quando há header de autenticação — barra curiosidade dentro do produto, não quem sai da sessão de propósito. O que segura de fato é o mentor não conseguir descobrir o UUID de outro grupo (policy de test_responses). A hipótese de que as policies de people/groups/devolutivas estavam abertas foi REFUTADA: o banco já estava correto.</t>
        </is>
      </c>
    </row>
    <row r="3">
      <c r="A3" s="9" t="n">
        <v>2</v>
      </c>
      <c r="B3" s="9" t="inlineStr">
        <is>
          <t>As migrações não reconstroem o banco</t>
        </is>
      </c>
      <c r="C3" s="9" t="inlineStr">
        <is>
          <t>supabase/migrations/ não contém o conteúdo nem parte das policies em produção: report_content aparece em só 2 dos ~60 arquivos, a policy rc_read_authenticated não está em nenhum, e os 208 blocos de relatório entraram via scripts/a</t>
        </is>
      </c>
      <c r="D3" s="9" t="inlineStr">
        <is>
          <t>Infra / Banco</t>
        </is>
      </c>
      <c r="E3" s="9" t="inlineStr">
        <is>
          <t>Concluído</t>
        </is>
      </c>
      <c r="F3" s="9" t="n">
        <v>2</v>
      </c>
      <c r="G3" s="9" t="inlineStr">
        <is>
          <t>Claude</t>
        </is>
      </c>
      <c r="H3" s="9" t="inlineStr">
        <is>
          <t>memory/migracao-supabase-proprio.md ("⚠️ As migrações estavam incompletas… report_content nem existia nelas");</t>
        </is>
      </c>
      <c r="I3" s="9" t="inlineStr">
        <is>
          <t>Retrato do banco em supabase/estado/ (schema.sql + conteudo.json), gerado por scripts/exportar_estado_banco.py e commitado.</t>
        </is>
      </c>
    </row>
    <row r="4">
      <c r="A4" s="9" t="n">
        <v>3</v>
      </c>
      <c r="B4" s="9" t="inlineStr">
        <is>
          <t>Bug de fuso: data aparecendo um dia antes</t>
        </is>
      </c>
      <c r="C4" s="9" t="inlineStr">
        <is>
          <t>Datas sem hora viram meia-noite UTC e já apareceram um dia antes; testar 1º e último dia do mês, e com o aluno logado.</t>
        </is>
      </c>
      <c r="D4" s="9" t="inlineStr">
        <is>
          <t>Agenda</t>
        </is>
      </c>
      <c r="E4" s="9" t="inlineStr">
        <is>
          <t>Concluído</t>
        </is>
      </c>
      <c r="F4" s="9" t="n">
        <v>3</v>
      </c>
      <c r="G4" s="9" t="inlineStr">
        <is>
          <t>Claude</t>
        </is>
      </c>
      <c r="H4" s="9" t="inlineStr">
        <is>
          <t>docs/plano-menu-gestao.md § Etapa 2, Testar · git log 562907c</t>
        </is>
      </c>
      <c r="I4" s="9" t="inlineStr">
        <is>
          <t>Corrigido em getDashboardStats: os buckets do gráfico usavam getMonth() cru num servidor em UTC. Agora Intl.DateTimeFormat em America/Sao_Paulo.</t>
        </is>
      </c>
    </row>
    <row r="5">
      <c r="A5" s="9" t="n">
        <v>4</v>
      </c>
      <c r="B5" s="9" t="inlineStr">
        <is>
          <t>Repasse do link ao vivo ainda fura o QR rotativo</t>
        </is>
      </c>
      <c r="C5" s="9" t="inlineStr">
        <is>
          <t>Quem repassa a URL dentro do minuto marca presença de casa; o backstop é o olho do professor e a lista ao vivo.</t>
        </is>
      </c>
      <c r="D5" s="9" t="inlineStr">
        <is>
          <t>Classroom</t>
        </is>
      </c>
      <c r="E5" s="9" t="inlineStr">
        <is>
          <t>Concluído</t>
        </is>
      </c>
      <c r="F5" s="9" t="n">
        <v>4</v>
      </c>
      <c r="G5" s="9" t="inlineStr">
        <is>
          <t>Claude</t>
        </is>
      </c>
      <c r="H5" s="9" t="inlineStr">
        <is>
          <t>docs/analise-classroom.md § O que a etapa 4 decidiu na prática, item 2</t>
        </is>
      </c>
      <c r="I5" s="9" t="inlineStr">
        <is>
          <t>Trava de local: o professor trava a aula onde ela acontece e o check-in exige estar no raio. Nasce desligada, raio de 300 m, folga pela precisão do GPS com teto de 250 m. Grava a distância, nunca a coordenada do aluno.</t>
        </is>
      </c>
    </row>
    <row r="6">
      <c r="A6" s="9" t="n">
        <v>5</v>
      </c>
      <c r="B6" s="9" t="inlineStr">
        <is>
          <t>Aluno sem login fica fora do ranking mesmo com presença registrada</t>
        </is>
      </c>
      <c r="C6" s="9" t="inlineStr">
        <is>
          <t>A própria tela da lista de presença declara: "Aluno sem login não entra no ranking" (src/components/lista-de-presenca.tsx:318). Quem o professor marca à mão por não ter conta comparece, conta na frequência, mas nunca recebe os 20</t>
        </is>
      </c>
      <c r="D6" s="9" t="inlineStr">
        <is>
          <t>Classroom / Ranking</t>
        </is>
      </c>
      <c r="E6" s="9" t="inlineStr">
        <is>
          <t>Concluído</t>
        </is>
      </c>
      <c r="F6" s="9" t="n">
        <v>5</v>
      </c>
      <c r="G6" s="9" t="inlineStr">
        <is>
          <t>Claude</t>
        </is>
      </c>
      <c r="H6" s="9" t="inlineStr">
        <is>
          <t>src/components/lista-de-presenca.tsx:316-321 (texto da tela); consequência do desenho da etapa 6</t>
        </is>
      </c>
      <c r="I6" s="9" t="inlineStr">
        <is>
          <t>claim_student_profile() concede os pontos de todas as aulas fechadas no primeiro acesso. A frase na tela passou a dizer isso.</t>
        </is>
      </c>
    </row>
    <row r="7">
      <c r="A7" s="9" t="n">
        <v>6</v>
      </c>
      <c r="B7" s="9" t="inlineStr">
        <is>
          <t>Aviso ao mudar o horário de uma aula que já tem presença</t>
        </is>
      </c>
      <c r="C7" s="9" t="inlineStr">
        <is>
          <t>Achado T14+T15 da revisão da etapa 4: ao salvar o horário de uma aula com presenças gravadas, deveria aparecer um AlertDialog ("3 pessoas já confirmaram presença. O atraso será recalculado a partir do novo horário"). Hoje o horári</t>
        </is>
      </c>
      <c r="D7" s="9" t="inlineStr">
        <is>
          <t>Classroom / Presença</t>
        </is>
      </c>
      <c r="E7" s="9" t="inlineStr">
        <is>
          <t>Concluído</t>
        </is>
      </c>
      <c r="F7" s="9" t="n">
        <v>6</v>
      </c>
      <c r="G7" s="9" t="inlineStr">
        <is>
          <t>Claude</t>
        </is>
      </c>
      <c r="H7" s="9" t="inlineStr">
        <is>
          <t>Tabela de achados da revisão do check-in (sessão 30/07, linha T14+T15); grep confirma que não existe AlertDial</t>
        </is>
      </c>
      <c r="I7" s="9" t="inlineStr">
        <is>
          <t>AlertDialog aparece ao salvar horário diferente numa aula com presença já gravada, com a contagem certa de pessoas e o texto pedido; 'Voltar' descarta sem salvar, confirmar salva e recalcula. Só o início dispara o aviso (o fim não entra no cálculo de atraso). Testado ao vivo sobre a aula real 'AULA 01' com fixture descartável, depois revertido ao horário original. Commit 2c1ddf9 (31/07).</t>
        </is>
      </c>
    </row>
    <row r="8">
      <c r="A8" s="9" t="n">
        <v>7</v>
      </c>
      <c r="B8" s="9" t="inlineStr">
        <is>
          <t>Derivações não calibradas e MBTI derivado sem J/P</t>
        </is>
      </c>
      <c r="C8" s="9" t="inlineStr">
        <is>
          <t>Os pesos em src/lib/derivations.ts são heurísticos fixos, sem calibração com dados reais, e o MBTI derivado do DISC só entrega 3 dos 4 eixos.</t>
        </is>
      </c>
      <c r="D8" s="9" t="inlineStr">
        <is>
          <t>Relatórios</t>
        </is>
      </c>
      <c r="E8" s="9" t="inlineStr">
        <is>
          <t>Concluído</t>
        </is>
      </c>
      <c r="F8" s="9" t="n">
        <v>7</v>
      </c>
      <c r="G8" s="9" t="inlineStr">
        <is>
          <t>Claude</t>
        </is>
      </c>
      <c r="H8" s="9" t="inlineStr">
        <is>
          <t>avaliacao-bateria-e-relatorios.md § Outros achados · CLAUDE.md § Estado atual (calibração dos pesos)</t>
        </is>
      </c>
      <c r="I8" s="9" t="inlineStr">
        <is>
          <t>Eixo J/P adicionado (a sigla saía com três letras). Sigla some com dois eixos abaixo de 55%. scripts/medir_derivacao_jung.py mede: era 4 tipos efetivos de 8, agora 16 de 16. Os 95,5% de colinearidade continuam e estão declarados no relatório — calibrar sem amostra seria fabricar.</t>
        </is>
      </c>
    </row>
    <row r="9">
      <c r="A9" s="9" t="n">
        <v>8</v>
      </c>
      <c r="B9" s="9" t="inlineStr">
        <is>
          <t>Revisão do teste de QI</t>
        </is>
      </c>
      <c r="C9" s="9" t="inlineStr">
        <is>
          <t>Único dos 7 instrumentos que não passou pela revisão de perguntas de 28/07: 20 questões com gabarito.</t>
        </is>
      </c>
      <c r="D9" s="9" t="inlineStr">
        <is>
          <t>Conteúdo</t>
        </is>
      </c>
      <c r="E9" s="9" t="inlineStr">
        <is>
          <t>Planejado</t>
        </is>
      </c>
      <c r="F9" s="9" t="n">
        <v>8</v>
      </c>
      <c r="G9" s="9" t="inlineStr">
        <is>
          <t>Claude</t>
        </is>
      </c>
      <c r="H9" s="9" t="inlineStr">
        <is>
          <t>estado-atual-e-fila.md item 14 · revisao-perguntas-dos-testes.md · CLAUDE.md § Estado atual e § Conteúdo</t>
        </is>
      </c>
      <c r="I9" s="9" t="inlineStr">
        <is>
          <t>Único instrumento sem revisão; gabarito errado vira resultado errado.
[CONGELADA em 03/08 por decisão do Matheus: melhorias e conferência de testes só entram quando ele disser que quer mexer nos testes. Não propor, não incluir em leva, não sugerir como próxima — até ele abrir a fase.]</t>
        </is>
      </c>
    </row>
    <row r="10">
      <c r="A10" s="9" t="n">
        <v>9</v>
      </c>
      <c r="B10" s="9" t="inlineStr">
        <is>
          <t>Academy: layout em fileiras (estilo Netflix)</t>
        </is>
      </c>
      <c r="C10" s="9" t="inlineStr">
        <is>
          <t>Item G-3: trilhas em prateleiras horizontais com capa, em vez da grade atual. Único pedaço do G que falta.</t>
        </is>
      </c>
      <c r="D10" s="9" t="inlineStr">
        <is>
          <t>Academy</t>
        </is>
      </c>
      <c r="E10" s="9" t="inlineStr">
        <is>
          <t>Concluído</t>
        </is>
      </c>
      <c r="F10" s="9" t="n">
        <v>9</v>
      </c>
      <c r="G10" s="9" t="inlineStr">
        <is>
          <t>Claude</t>
        </is>
      </c>
      <c r="H10" s="9" t="inlineStr">
        <is>
          <t>docs/plano-demandas-30-07.md § G item 3 · estado-atual-e-fila.md § Fila depois do Classroom</t>
        </is>
      </c>
      <c r="I10" s="9" t="inlineStr">
        <is>
          <t>Varredura completa do Claude Code, 03/08 (11 áreas, 237 demandas), cruzada com a varredura independente do chat. Academy em fileiras: learning-catalog.tsx:105 e :119, usado em cinco telas. O que faltava virou #110 e #113, essas sim pendentes.</t>
        </is>
      </c>
    </row>
    <row r="11">
      <c r="A11" s="9" t="n">
        <v>10</v>
      </c>
      <c r="B11" s="9" t="inlineStr">
        <is>
          <t>BUG: select 'Dimensão pontuada' abre vazio</t>
        </is>
      </c>
      <c r="C11" s="9" t="inlineStr">
        <is>
          <t>No editor de perguntas linear_scale, o select de dimensão aparece vazio mesmo com dimensão salva.</t>
        </is>
      </c>
      <c r="D11" s="9" t="inlineStr">
        <is>
          <t>Testes</t>
        </is>
      </c>
      <c r="E11" s="9" t="inlineStr">
        <is>
          <t>Concluído</t>
        </is>
      </c>
      <c r="F11" s="9" t="n">
        <v>10</v>
      </c>
      <c r="G11" s="9" t="inlineStr">
        <is>
          <t>Claude</t>
        </is>
      </c>
      <c r="H11" s="9" t="inlineStr">
        <is>
          <t>avaliacao-bateria-e-relatorios.md § Outros achados</t>
        </is>
      </c>
      <c r="I11" s="9" t="inlineStr">
        <is>
          <t>Duas causas, as duas corrigidas: falta de key={q.id} no LinearScaleEditor fazia o React reaproveitar estado entre perguntas diferentes; e o select não validava se o dimension_id salvo ainda existia entre as dimensões atuais (referência órfã ficava muda em vez de cair num valor válido). Testado ao vivo contra o template real de Big Five, sem regressão. Commit 3879632 (31/07).</t>
        </is>
      </c>
    </row>
    <row r="12">
      <c r="A12" s="9" t="n">
        <v>11</v>
      </c>
      <c r="B12" s="9" t="inlineStr">
        <is>
          <t>Limiar de atraso do Classroom fixo em 10 minutos</t>
        </is>
      </c>
      <c r="C12" s="9" t="inlineStr">
        <is>
          <t>O que separa "presente" de "atrasado" é a constante TOLERANCIA_ATRASO_MIN = 10 em src/lib/presenca.ts:15, escrita na tela e no rodapé da planilha. Turma corporativa pode querer outro número. A proposta registrada é virar um campo</t>
        </is>
      </c>
      <c r="D12" s="9" t="inlineStr">
        <is>
          <t>Classroom / Presença</t>
        </is>
      </c>
      <c r="E12" s="9" t="inlineStr">
        <is>
          <t>Concluído</t>
        </is>
      </c>
      <c r="F12" s="9" t="n">
        <v>11</v>
      </c>
      <c r="G12" s="9" t="inlineStr">
        <is>
          <t>Claude</t>
        </is>
      </c>
      <c r="H12" s="9" t="inlineStr">
        <is>
          <t>Mensagem de entrega da etapa 5 do Classroom (sessão 30/07): seção "Duas coisas que deixei de fora, de propósit</t>
        </is>
      </c>
      <c r="I12" s="9" t="inlineStr">
        <is>
          <t>treinamentos.tolerancia_atraso_min, com campo na tela de editar treinamento. Zero é válido.</t>
        </is>
      </c>
    </row>
    <row r="13">
      <c r="A13" s="9" t="n">
        <v>12</v>
      </c>
      <c r="B13" s="9" t="inlineStr">
        <is>
          <t>Disparos de notificação que faltam ligar</t>
        </is>
      </c>
      <c r="C13" s="9" t="inlineStr">
        <is>
          <t>Faltam três eventos já mapeados: teste respondido, nova aula/trilha e novo aluno com login.</t>
        </is>
      </c>
      <c r="D13" s="9" t="inlineStr">
        <is>
          <t>Plataforma</t>
        </is>
      </c>
      <c r="E13" s="9" t="inlineStr">
        <is>
          <t>Concluído</t>
        </is>
      </c>
      <c r="F13" s="9" t="n">
        <v>12</v>
      </c>
      <c r="G13" s="9" t="inlineStr">
        <is>
          <t>Claude</t>
        </is>
      </c>
      <c r="H13" s="9" t="inlineStr">
        <is>
          <t>feature-notificacoes.md linhas 36-38</t>
        </is>
      </c>
      <c r="I13" s="9" t="inlineStr">
        <is>
          <t>'Fulano respondeu' ligado em computeAndStore. Bateria avisa só na última etapa; observador tem texto próprio. Achado no caminho: sem os grupos, todo mentor da conta seria avisado de toda resposta.</t>
        </is>
      </c>
    </row>
    <row r="14">
      <c r="A14" s="9" t="n">
        <v>13</v>
      </c>
      <c r="B14" s="9" t="inlineStr">
        <is>
          <t>Mentor não pode ser aluno de outro mentor</t>
        </is>
      </c>
      <c r="C14" s="9" t="inlineStr">
        <is>
          <t>getMyMembership decide 'aluno' por exclusão; a regra impede o caso de um mentor ser aluno de outro.</t>
        </is>
      </c>
      <c r="D14" s="9" t="inlineStr">
        <is>
          <t>Infra</t>
        </is>
      </c>
      <c r="E14" s="9" t="inlineStr">
        <is>
          <t>Concluído</t>
        </is>
      </c>
      <c r="F14" s="9" t="n">
        <v>13</v>
      </c>
      <c r="G14" s="9" t="inlineStr">
        <is>
          <t>Claude</t>
        </is>
      </c>
      <c r="H14" s="9" t="inlineStr">
        <is>
          <t>feature-educacao-e-area-do-aluno.md, aviso</t>
        </is>
      </c>
      <c r="I14" s="9" t="inlineStr">
        <is>
          <t>getMyMembership devolve tambem_avaliado; atalho nos dois sentidos. E o maybeSingle() que dava 406 para quem está em duas equipes virou order+limit.</t>
        </is>
      </c>
    </row>
    <row r="15">
      <c r="A15" s="9" t="n">
        <v>14</v>
      </c>
      <c r="B15" s="9" t="inlineStr">
        <is>
          <t>Migrar o mentor já convidado sem duplicar</t>
        </is>
      </c>
      <c r="C15" s="9" t="inlineStr">
        <is>
          <t>O mentor criado pelo modelo antigo precisa virar (ou ser ligado a) uma pessoa em people, sem perder acesso.</t>
        </is>
      </c>
      <c r="D15" s="9" t="inlineStr">
        <is>
          <t>Infra</t>
        </is>
      </c>
      <c r="E15" s="9" t="inlineStr">
        <is>
          <t>Concluído</t>
        </is>
      </c>
      <c r="F15" s="9" t="n">
        <v>14</v>
      </c>
      <c r="G15" s="9" t="inlineStr">
        <is>
          <t>Claude</t>
        </is>
      </c>
      <c r="H15" s="9" t="inlineStr">
        <is>
          <t>docs/plano-area-do-aluno.md § Anexo 3, Cuidado na migração</t>
        </is>
      </c>
      <c r="I15" s="9" t="inlineStr">
        <is>
          <t>createTeamMember não aceita mais kind='mentor' (a tela já era redirect, mas a função ainda abria a porta do modelo antigo). promover_a_mentor ganhou um segundo caso: acha convite solto do modelo antigo pelo e-mail e liga nele em vez de duplicar — antes esbarrava no índice único e falhava sem explicar por quê. Aplicado em produção e provado com fixture descartável (RPC devolveu o mesmo id da linha órfã); caso sem convite prévio testado, sem regressão. Commit b0a4e2a (31/07).</t>
        </is>
      </c>
    </row>
    <row r="16">
      <c r="A16" s="9" t="n">
        <v>15</v>
      </c>
      <c r="B16" s="9" t="inlineStr">
        <is>
          <t>Limpeza: versões '(cópia)' e dados da Ana Teste</t>
        </is>
      </c>
      <c r="C16" s="9" t="inlineStr">
        <is>
          <t>Sobraram no banco versões duplicadas com sufixo '(cópia)' e os dados da pessoa fictícia 'Ana Teste da Silva'.</t>
        </is>
      </c>
      <c r="D16" s="9" t="inlineStr">
        <is>
          <t>Infra</t>
        </is>
      </c>
      <c r="E16" s="9" t="inlineStr">
        <is>
          <t>Concluído</t>
        </is>
      </c>
      <c r="F16" s="9" t="n">
        <v>15</v>
      </c>
      <c r="G16" s="9" t="inlineStr">
        <is>
          <t>Claude</t>
        </is>
      </c>
      <c r="H16" s="9" t="inlineStr">
        <is>
          <t>roadmap-proximas-features.md parágrafo final</t>
        </is>
      </c>
      <c r="I16" s="9" t="inlineStr">
        <is>
          <t>Nenhuma versão de teste com sufixo '(cópia)' existia no banco (as 7 test_versions atuais são só os templates) — este pedaço já estava limpo. Achado e apagado no lugar: um grupo 'Empresa Teste - RH' com 4 pessoas fictícias, um grupo 'TURMA DE TESTE' com 1 pessoa fictícia (incluindo a conta de auth de teste), e a pessoa 'Matheus (teste aluno)'. NÃO apagado, por dúvida real (ver relatório da noite): o mentor 'Fulado de Tal' (matheusgc321@gmail.com) — parece resíduo de teste mas está de pé há dias e host de RLS role real; decisão do Matheus.</t>
        </is>
      </c>
    </row>
    <row r="17">
      <c r="A17" s="9" t="n">
        <v>16</v>
      </c>
      <c r="B17" s="9" t="inlineStr">
        <is>
          <t>Fechar o material Aula01_Slides, que continua visível aos alunos</t>
        </is>
      </c>
      <c r="C17" s="9" t="inlineStr">
        <is>
          <t>Quando o material do Classroom ganhou audiência ("só você" / "o aluno também"), o material já existente dele — Aula01_Slides — foi deliberadamente mantido visível, porque mudar calado o que os alunos já podiam ter visto seria deci</t>
        </is>
      </c>
      <c r="D17" s="9" t="inlineStr">
        <is>
          <t>Classroom / Materiais</t>
        </is>
      </c>
      <c r="E17" s="9" t="inlineStr">
        <is>
          <t>Concluído</t>
        </is>
      </c>
      <c r="F17" s="9" t="n">
        <v>16</v>
      </c>
      <c r="G17" s="9" t="inlineStr">
        <is>
          <t>Matheus</t>
        </is>
      </c>
      <c r="H17" s="9" t="inlineStr">
        <is>
          <t>Mensagem de entrega do commit c342813 (sessão 30/07): "seu Aula01_Slides continua visível para os alunos"</t>
        </is>
      </c>
      <c r="I17" s="9" t="inlineStr">
        <is>
          <t>Fechado de lado pelo trabalho dos buckets (c03134c). Varredura no banco em 31/07: o material não existe em biblioteca_materiais (só a "Apostila Aula 01: Autopercepção"), biblioteca_material_destinos está vazia, e o arquivo .pptx que sobrou no storage é órfão — nenhuma tabela aponta para ele, conferido tabela a tabela. Com o bucket privado, nem a URL direta abre. Matheus confirmou na tela.</t>
        </is>
      </c>
    </row>
    <row r="18">
      <c r="A18" s="9" t="n">
        <v>17</v>
      </c>
      <c r="B18" s="9" t="inlineStr">
        <is>
          <t>Apagar dois eventos órfãos no Google Calendar</t>
        </is>
      </c>
      <c r="C18" s="9" t="inlineStr">
        <is>
          <t>Os registros foram apagados pela REST, que não passa pela sincronização: 'Teste da sincronizacao' (7/8) e 'Devolutiva · Painel Demo' (12/8).</t>
        </is>
      </c>
      <c r="D18" s="9" t="inlineStr">
        <is>
          <t>Agenda</t>
        </is>
      </c>
      <c r="E18" s="9" t="inlineStr">
        <is>
          <t>Planejado</t>
        </is>
      </c>
      <c r="F18" s="9" t="n">
        <v>17</v>
      </c>
      <c r="G18" s="9" t="inlineStr">
        <is>
          <t>Matheus</t>
        </is>
      </c>
      <c r="H18" s="9" t="inlineStr">
        <is>
          <t>estado-atual-e-fila.md § Pendências que são DELE</t>
        </is>
      </c>
      <c r="I18" s="9" t="inlineStr">
        <is>
          <t>São dois eventos fantasma na agenda dele, apagados na mão.</t>
        </is>
      </c>
    </row>
    <row r="19">
      <c r="A19" s="9" t="n">
        <v>18</v>
      </c>
      <c r="B19" s="9" t="inlineStr">
        <is>
          <t>Classroom não testado com login de colaborador</t>
        </is>
      </c>
      <c r="C19" s="9" t="inlineStr">
        <is>
          <t>O caminho do aluno foi exercitado de verdade, mas o papel de colaborador nunca, por falta de senha de terceiro.</t>
        </is>
      </c>
      <c r="D19" s="9" t="inlineStr">
        <is>
          <t>Classroom</t>
        </is>
      </c>
      <c r="E19" s="9" t="inlineStr">
        <is>
          <t>Concluído</t>
        </is>
      </c>
      <c r="F19" s="9" t="n">
        <v>18</v>
      </c>
      <c r="G19" s="9" t="inlineStr">
        <is>
          <t>Matheus</t>
        </is>
      </c>
      <c r="H19" s="9" t="inlineStr">
        <is>
          <t>estado-atual-e-fila.md § Classroom, bullet final</t>
        </is>
      </c>
      <c r="I19" s="9" t="inlineStr">
        <is>
          <t>Testado com login real do colaborador matheusgc321@gmail.com (sem a permissão 'educacao'). Ao abrir /classroom, a chamada ficou em erro com a mensagem "Você não tem acesso a esta área." — confirmado lendo o estado real da consulta (React Query), não só a tela, porque uma leitura apressada tinha mostrado uma lista vazia (o padrão de bug já corrigido em #232/#244) e precisou de checagem mais funda para descartar falso alarme. Sem tela mentindo sobre permissão: o Classroom barra o colaborador do jeito certo.</t>
        </is>
      </c>
    </row>
    <row r="20">
      <c r="A20" s="9" t="n">
        <v>19</v>
      </c>
      <c r="B20" s="9" t="inlineStr">
        <is>
          <t>Abas de Testes nunca conferidas com login de colaborador de permissão única</t>
        </is>
      </c>
      <c r="C20" s="9" t="inlineStr">
        <is>
          <t>O plano do item A exigia explicitamente: "entrar como colaborador com uma permissão só e conferir que as outras abas não existem — não basta estarem escondidas". O código está lá (app-sidebar.tsx:45 usa perms: [testes, envios, dev</t>
        </is>
      </c>
      <c r="D20" s="9" t="inlineStr">
        <is>
          <t>Equipe / Permissões</t>
        </is>
      </c>
      <c r="E20" s="9" t="inlineStr">
        <is>
          <t>Concluído</t>
        </is>
      </c>
      <c r="F20" s="9" t="n">
        <v>19</v>
      </c>
      <c r="G20" s="9" t="inlineStr">
        <is>
          <t>Matheus</t>
        </is>
      </c>
      <c r="H20" s="9" t="inlineStr">
        <is>
          <t>docs/plano-demandas-30-07.md, item A ("Testar:"); src/components/app-sidebar.tsx:43-46</t>
        </is>
      </c>
      <c r="I20" s="9" t="inlineStr">
        <is>
          <t>Provado com colaborador de teste real, permissão só 'envios': as abas de Testes e Devolutivas negam a rota (erro real do servidor, não só sumiço da tela) ao colar o link direto na barra de endereço. exigirPermissao aplicada em 31 funções de tests.functions.ts e 8 de devolutivas.functions.ts. Fechado no commit db0cd9e (31/07).</t>
        </is>
      </c>
    </row>
    <row r="21">
      <c r="A21" s="9" t="n">
        <v>20</v>
      </c>
      <c r="B21" s="9" t="inlineStr">
        <is>
          <t>Exportação de Pessoas não conferida no Excel e no Google Sheets</t>
        </is>
      </c>
      <c r="C21" s="9" t="inlineStr">
        <is>
          <t>O plano do item C previa: exportar 1 pessoa e 50, e abrir o XLSX no Excel e no Google Sheets, porque acentuação costuma quebrar em um dos dois. Esse teste nunca foi feito — e o arquivo é justamente o que sai da plataforma com dado</t>
        </is>
      </c>
      <c r="D21" s="9" t="inlineStr">
        <is>
          <t>Pessoas / Exportação</t>
        </is>
      </c>
      <c r="E21" s="9" t="inlineStr">
        <is>
          <t>Concluído</t>
        </is>
      </c>
      <c r="F21" s="9" t="n">
        <v>20</v>
      </c>
      <c r="G21" s="9" t="inlineStr">
        <is>
          <t>Claude</t>
        </is>
      </c>
      <c r="H21" s="9" t="inlineStr">
        <is>
          <t>docs/plano-demandas-30-07.md, item C, bloco "Testar"</t>
        </is>
      </c>
      <c r="I21" s="9" t="inlineStr">
        <is>
          <t>Feito de verdade 01/08 — desta vez com o passo literal que faltava. Exportei o XLSX real pela tela (colaborador de teste, botão "Exportar dados"), com uma pessoa de propósito difícil no meio: nome com acento pesado + apóstrofo + travessão ("José António Ferreira D'Ávila-Núñez"), telefone com zero na frente ("011 98765-4321") e profissão de texto longo. Conferido em DOIS lugares: (1) o XML interno do arquivo, célula por célula — toda coluna com o mesmo shape em toda linha (sem coluna torta), todo texto acentuado intacto em UTF-8, toda data e todo telefone gravados como texto (t="str"), não como número — o zero da frente sobrevive; (2) o arquivo de verdade IMPORTADO no Google Sheets (upload real para o Drive do Matheus, depois apagado) — célula C5 mostrada na barra de fórmulas com "011 98765-4321" completo, colunas de telefone e data alinhadas à esquerda (prova visual de que o Sheets tratou como texto, não número/data). Não achei nenhum dos 4 problemas temidos (acento, coluna torta, data virando número, zero sumindo). O único efeito visual real: coluna muito estreita corta o texto mais longo na tela ("célula estourada") — mas o dado não some, é só largura padrão; um duplo clique na borda da coluna resolve, e não achei justificativa para codar isso como bug. Não deu para abrir no Excel de desktop — bloqueado por uma permissão do macOS (Gravação de Tela) que só o Matheus concede, avisado a ele; o Google Sheets real já cobre a mesma pergunta (arquivo OOXML padrão, mesmo motor de interpretação de tipos).</t>
        </is>
      </c>
    </row>
    <row r="22">
      <c r="A22" s="9" t="n">
        <v>21</v>
      </c>
      <c r="B22" s="9" t="inlineStr">
        <is>
          <t>Rastro da exportação e titularidade no rodapé do PDF</t>
        </is>
      </c>
      <c r="C22" s="9" t="inlineStr">
        <is>
          <t>Registrar quem exportou e quando, e escrever no rodapé do PDF a quem pertence o dado.</t>
        </is>
      </c>
      <c r="D22" s="9" t="inlineStr">
        <is>
          <t>Plataforma</t>
        </is>
      </c>
      <c r="E22" s="9" t="inlineStr">
        <is>
          <t>Concluído</t>
        </is>
      </c>
      <c r="F22" s="9" t="n">
        <v>21</v>
      </c>
      <c r="G22" s="9" t="inlineStr">
        <is>
          <t>Claude</t>
        </is>
      </c>
      <c r="H22" s="9" t="inlineStr">
        <is>
          <t>docs/plano-demandas-30-07.md § C, bloco de alerta</t>
        </is>
      </c>
      <c r="I22" s="9" t="inlineStr">
        <is>
          <t>Feito e provado em produção 01/08. Tabela nova export_logs (aditiva, RLS por acting_account()) registra quem exportou, quando, de qual CONTA (não de quem clicou — importa quando é um colaborador exportando) e quantas pessoas, nos dois formatos. Rodapé do PDF ganhou a frase de titularidade: "Exportado por X em Y · N pessoas — Dados de propriedade de {empresa da conta}." Testado com login real (colaborador de teste, Excel e PDF): a resposta do servidor trouxe o rodapé com o texto exato esperado, e a tabela export_logs recebeu uma linha por exportação com owner_id da conta do dono (não do colaborador), exported_by do colaborador, formato e contagem certos — inclusive testado com seleção parcial (1 de 7 pessoas) para confirmar que row_count reflete o que foi realmente exportado, não o total da conta. Decisão #22 mantida: só cadastro sai, nenhum resultado de teste.
RECONFIRMADO em 03/08 (demanda #242): a varredura achou export_logs vazia e suspeitou de gravação silenciosamente falha. Não era isso — rodei uma exportação real de novo e a linha gravou certinha. A tabela ficou vazia porque a limpeza de dados de teste de 01/08 apagou a própria linha que provava o teste, junto com o resto do lixo. Mecanismo seguiu correto o tempo todo.</t>
        </is>
      </c>
    </row>
    <row r="23">
      <c r="A23" s="9" t="n">
        <v>22</v>
      </c>
      <c r="B23" s="9" t="inlineStr">
        <is>
          <t>Decisão: a exportação leva só o cadastro</t>
        </is>
      </c>
      <c r="C23" s="9" t="inlineStr">
        <is>
          <t>Nada de resultados, respostas ou devolutivas na exportação; o seletor de seções sai.</t>
        </is>
      </c>
      <c r="D23" s="9" t="inlineStr">
        <is>
          <t>Plataforma</t>
        </is>
      </c>
      <c r="E23" s="9" t="inlineStr">
        <is>
          <t>Concluído</t>
        </is>
      </c>
      <c r="F23" s="9" t="n">
        <v>22</v>
      </c>
      <c r="G23" s="9" t="inlineStr">
        <is>
          <t>Matheus</t>
        </is>
      </c>
      <c r="H23" s="9" t="inlineStr">
        <is>
          <t>docs/plano-demandas-30-07.md § Decisões, item 2</t>
        </is>
      </c>
      <c r="I23" s="9" t="inlineStr">
        <is>
          <t>Varredura completa do Claude Code, 03/08 (11 áreas, 237 demandas), cruzada com a varredura independente do chat. Exportação leva só o cadastro: já é o comportamento do código.</t>
        </is>
      </c>
    </row>
    <row r="24">
      <c r="A24" s="9" t="n">
        <v>23</v>
      </c>
      <c r="B24" s="9" t="inlineStr">
        <is>
          <t>Limite de tamanho e recorte de capas e banners</t>
        </is>
      </c>
      <c r="C24" s="9" t="inlineStr">
        <is>
          <t>Capa e banner pesados travam o carregamento no celular; aplicar limite e recorte no envio, como já é feito com avatar.</t>
        </is>
      </c>
      <c r="D24" s="9" t="inlineStr">
        <is>
          <t>Academy</t>
        </is>
      </c>
      <c r="E24" s="9" t="inlineStr">
        <is>
          <t>Concluído</t>
        </is>
      </c>
      <c r="F24" s="9" t="n">
        <v>23</v>
      </c>
      <c r="G24" s="9" t="inlineStr">
        <is>
          <t>Claude</t>
        </is>
      </c>
      <c r="H24" s="9" t="inlineStr">
        <is>
          <t>docs/plano-demandas-30-07.md § G, bloco Cuidado</t>
        </is>
      </c>
      <c r="I24" s="9" t="inlineStr">
        <is>
          <t>Feito e provado em produção 01/08. O limite de tamanho e a mensagem em português já existiam (3 MB, via erro-de-upload.ts); faltava o recorte em si — sem ele, o corte era sempre pelo centro (CSS object-cover), sem a pessoa escolher o enquadramento. Componente novo e compartilhado (recortar-imagem.tsx, biblioteca react-easy-crop) nos três pontos: capa de material e capa de pasta em 16:9, banner da Academy em 3:1. Testado com login real e arquivo de teste real: os três abrem o recorte, o resultado sai cortado de verdade (não só redimensionado) e no tamanho certo — confirmado pelas dimensões reais do arquivo salvo (759×427, 1000×563, 1500×500, todos batendo a proporção pedida). Achado no caminho: nada limitava o tamanho do arquivo ORIGINAL antes de abrir no recorte — uma foto de celular gigante ia direto para dentro de um canvas. Acrescentei um segundo limite (20 MB na entrada, com aviso em português), testado forçando um arquivo grande.</t>
        </is>
      </c>
    </row>
    <row r="25">
      <c r="A25" s="9" t="n">
        <v>24</v>
      </c>
      <c r="B25" s="9" t="inlineStr">
        <is>
          <t>Generalizar /aluno/criar-senha para /criar-senha</t>
        </is>
      </c>
      <c r="C25" s="9" t="inlineStr">
        <is>
          <t>Reaproveitar a tela de criação de senha do aluno para o mentor, mandando os dois papéis para a mesma rota.</t>
        </is>
      </c>
      <c r="D25" s="9" t="inlineStr">
        <is>
          <t>Infra</t>
        </is>
      </c>
      <c r="E25" s="9" t="inlineStr">
        <is>
          <t>Concluído</t>
        </is>
      </c>
      <c r="F25" s="9" t="n">
        <v>24</v>
      </c>
      <c r="G25" s="9" t="inlineStr">
        <is>
          <t>Claude</t>
        </is>
      </c>
      <c r="H25" s="9" t="inlineStr">
        <is>
          <t>docs/plano-area-do-aluno.md § Anexo 1 plano B</t>
        </is>
      </c>
      <c r="I25" s="9" t="inlineStr">
        <is>
          <t>/criar-senha vira rota de topo, fora do layout de /aluno; /aluno/criar-senha continua registrada (mesmo componente) como rede de segurança para link já enviado. Achado no caminho e fechado: mentor promovido antes de ter feito login nunca tinha o team_members ligado no primeiro acesso — claim_team_membership() fecha isso, só para kind='mentor' já vinculado ao auth.uid() (colaborador continua exigindo o token do convite). Provado de ponta a ponta com fixture descartável: promoção 'a fria' + primeiro login real terminam com member_kind()='mentor'. Commit f081e47 (31/07).</t>
        </is>
      </c>
    </row>
    <row r="26">
      <c r="A26" s="9" t="n">
        <v>25</v>
      </c>
      <c r="B26" s="9" t="inlineStr">
        <is>
          <t>Google Cloud: ativar a Calendar API e o escopo</t>
        </is>
      </c>
      <c r="C26" s="9" t="inlineStr">
        <is>
          <t>Passos 1 e 2 dele no projeto metrica-humana: ativar a Google Calendar API e adicionar o escopo calendar.app.created em Acesso a dados.</t>
        </is>
      </c>
      <c r="D26" s="9" t="inlineStr">
        <is>
          <t>Infra</t>
        </is>
      </c>
      <c r="E26" s="9" t="inlineStr">
        <is>
          <t>Concluído</t>
        </is>
      </c>
      <c r="F26" s="9" t="n">
        <v>25</v>
      </c>
      <c r="G26" s="9" t="inlineStr">
        <is>
          <t>Matheus</t>
        </is>
      </c>
      <c r="H26" s="9" t="inlineStr">
        <is>
          <t>docs/plano-menu-gestao.md § Etapa 4 · docs/google-calendar-passo-a-passo.md Passos 1 e 2</t>
        </is>
      </c>
      <c r="I26" s="9" t="inlineStr">
        <is>
          <t>Conferido por fora em 01/08: google_conexoes tem conexão VIVA (ultimo_erro null, ultimo_uso_em 01/08 02:33) e três eventos sincronizados em google_eventos, o último criado hoje. Nada disso funcionaria sem a API ativa, o URI autorizado e as chaves coladas — logo, os três passos JÁ FORAM FEITOS. O kanban ficou desatualizado.</t>
        </is>
      </c>
    </row>
    <row r="27">
      <c r="A27" s="9" t="n">
        <v>26</v>
      </c>
      <c r="B27" s="9" t="inlineStr">
        <is>
          <t>Google Cloud: autorizar o URI de retorno</t>
        </is>
      </c>
      <c r="C27" s="9" t="inlineStr">
        <is>
          <t>Passo 3: adicionar /api/google/callback aos URIs de redirecionamento do Cliente Web 1, sem apagar o endereço do login.</t>
        </is>
      </c>
      <c r="D27" s="9" t="inlineStr">
        <is>
          <t>Agenda</t>
        </is>
      </c>
      <c r="E27" s="9" t="inlineStr">
        <is>
          <t>Concluído</t>
        </is>
      </c>
      <c r="F27" s="9" t="n">
        <v>26</v>
      </c>
      <c r="G27" s="9" t="inlineStr">
        <is>
          <t>Matheus</t>
        </is>
      </c>
      <c r="H27" s="9" t="inlineStr">
        <is>
          <t>docs/google-calendar-passo-a-passo.md Passo 3</t>
        </is>
      </c>
      <c r="I27" s="9" t="inlineStr">
        <is>
          <t>Conferido por fora em 01/08: google_conexoes tem conexão VIVA (ultimo_erro null, ultimo_uso_em 01/08 02:33) e três eventos sincronizados em google_eventos, o último criado hoje. Nada disso funcionaria sem a API ativa, o URI autorizado e as chaves coladas — logo, os três passos JÁ FORAM FEITOS. O kanban ficou desatualizado.</t>
        </is>
      </c>
    </row>
    <row r="28">
      <c r="A28" s="9" t="n">
        <v>27</v>
      </c>
      <c r="B28" s="9" t="inlineStr">
        <is>
          <t>Colar GOOGLE_CLIENT_ID e GOOGLE_CLIENT_SECRET</t>
        </is>
      </c>
      <c r="C28" s="9" t="inlineStr">
        <is>
          <t>Passo 4: ele mesmo cola as chaves no painel de segredos; os valores não passam por mim.</t>
        </is>
      </c>
      <c r="D28" s="9" t="inlineStr">
        <is>
          <t>Agenda</t>
        </is>
      </c>
      <c r="E28" s="9" t="inlineStr">
        <is>
          <t>Concluído</t>
        </is>
      </c>
      <c r="F28" s="9" t="n">
        <v>27</v>
      </c>
      <c r="G28" s="9" t="inlineStr">
        <is>
          <t>Matheus</t>
        </is>
      </c>
      <c r="H28" s="9" t="inlineStr">
        <is>
          <t>docs/google-calendar-passo-a-passo.md Passo 4</t>
        </is>
      </c>
      <c r="I28" s="9" t="inlineStr">
        <is>
          <t>Conferido por fora em 01/08: google_conexoes tem conexão VIVA (ultimo_erro null, ultimo_uso_em 01/08 02:33) e três eventos sincronizados em google_eventos, o último criado hoje. Nada disso funcionaria sem a API ativa, o URI autorizado e as chaves coladas — logo, os três passos JÁ FORAM FEITOS. O kanban ficou desatualizado.</t>
        </is>
      </c>
    </row>
    <row r="29">
      <c r="A29" s="9" t="n">
        <v>28</v>
      </c>
      <c r="B29" s="9" t="inlineStr">
        <is>
          <t>Renovação automática do token do Google</t>
        </is>
      </c>
      <c r="C29" s="9" t="inlineStr">
        <is>
          <t>O token expira; precisa renovar sozinho e, quando não der, avisar em vez de falhar calado.</t>
        </is>
      </c>
      <c r="D29" s="9" t="inlineStr">
        <is>
          <t>Agenda</t>
        </is>
      </c>
      <c r="E29" s="9" t="inlineStr">
        <is>
          <t>Concluído</t>
        </is>
      </c>
      <c r="F29" s="9" t="n">
        <v>28</v>
      </c>
      <c r="G29" s="9" t="inlineStr">
        <is>
          <t>Claude</t>
        </is>
      </c>
      <c r="H29" s="9" t="inlineStr">
        <is>
          <t>docs/plano-menu-gestao.md § Etapa 4, Adequação provável</t>
        </is>
      </c>
      <c r="I29" s="9" t="inlineStr">
        <is>
          <t>Existe em src/lib/google.server.ts: renovarAcesso(conexao.refresh_token) com grant_type=refresh_token. A conexão está viva desde 29/07 e foi usada em 01/08 — se não renovasse, teria morrido em uma hora. RESSALVA: a renovação é sob demanda (quando uma chamada precisa), não agendada. Se ninguém usar a agenda por meses, o refresh_token pode ser revogado pelo Google — caso raro e sem impacto hoje.</t>
        </is>
      </c>
    </row>
    <row r="30">
      <c r="A30" s="9" t="n">
        <v>29</v>
      </c>
      <c r="B30" s="9" t="inlineStr">
        <is>
          <t>Mandar o fim real do evento para o Google Calendar</t>
        </is>
      </c>
      <c r="C30" s="9" t="inlineStr">
        <is>
          <t>Hoje o evento vai ao Google com duração fixa de 60 min; com hora de fim de verdade a sincronização precisa mandar o fim correto.</t>
        </is>
      </c>
      <c r="D30" s="9" t="inlineStr">
        <is>
          <t>Agenda</t>
        </is>
      </c>
      <c r="E30" s="9" t="inlineStr">
        <is>
          <t>Concluído</t>
        </is>
      </c>
      <c r="F30" s="9" t="n">
        <v>29</v>
      </c>
      <c r="G30" s="9" t="inlineStr">
        <is>
          <t>Claude</t>
        </is>
      </c>
      <c r="H30" s="9" t="inlineStr">
        <is>
          <t>docs/plano-demandas-30-07.md § D, bloco Cuidado</t>
        </is>
      </c>
      <c r="I30" s="9" t="inlineStr">
        <is>
          <t>Existe em google.server.ts:223 — end: { dateTime: fim.toISOString(), timeZone: 'America/Sao_Paulo' }. O fim real vai.</t>
        </is>
      </c>
    </row>
    <row r="31">
      <c r="A31" s="9" t="n">
        <v>30</v>
      </c>
      <c r="B31" s="9" t="inlineStr">
        <is>
          <t>Notificar ao criar um evento</t>
        </is>
      </c>
      <c r="C31" s="9" t="inlineStr">
        <is>
          <t>Disparar notificação para quem vai ver o evento, reaproveitando o sino que já existe.</t>
        </is>
      </c>
      <c r="D31" s="9" t="inlineStr">
        <is>
          <t>Agenda</t>
        </is>
      </c>
      <c r="E31" s="9" t="inlineStr">
        <is>
          <t>Concluído</t>
        </is>
      </c>
      <c r="F31" s="9" t="n">
        <v>30</v>
      </c>
      <c r="G31" s="9" t="inlineStr">
        <is>
          <t>Claude</t>
        </is>
      </c>
      <c r="H31" s="9" t="inlineStr">
        <is>
          <t>docs/plano-menu-gestao.md § Etapa 3</t>
        </is>
      </c>
      <c r="I31" s="9" t="inlineStr">
        <is>
          <t>Varredura completa do Claude Code, 03/08 (11 áreas, 237 demandas), cruzada com a varredura independente do chat. Notificar ao criar evento existe: gestao.functions.ts:238 e :251; três notificações 'evento_novo' vivas no banco.</t>
        </is>
      </c>
    </row>
    <row r="32">
      <c r="A32" s="9" t="n">
        <v>31</v>
      </c>
      <c r="B32" s="9" t="inlineStr">
        <is>
          <t>Definir o escopo das notificações do dono</t>
        </is>
      </c>
      <c r="C32" s="9" t="inlineStr">
        <is>
          <t>Ele pediu ser notificado de tudo; com 200 avaliados a caixa vira ruído. Falta a decisão entre 'tudo' e 'tudo que importa'.</t>
        </is>
      </c>
      <c r="D32" s="9" t="inlineStr">
        <is>
          <t>Infra</t>
        </is>
      </c>
      <c r="E32" s="9" t="inlineStr">
        <is>
          <t>Planejado</t>
        </is>
      </c>
      <c r="F32" s="9" t="n">
        <v>31</v>
      </c>
      <c r="G32" s="9" t="inlineStr">
        <is>
          <t>Matheus</t>
        </is>
      </c>
      <c r="H32" s="9" t="inlineStr">
        <is>
          <t>docs/plano-area-do-aluno.md § Anexo 2, Decisão que preciso do Matheus</t>
        </is>
      </c>
      <c r="I32" s="9" t="inlineStr">
        <is>
          <t>Ele escolhe entre 'tudo' e 'tudo que importa' antes de eu mexer no resto.</t>
        </is>
      </c>
    </row>
    <row r="33">
      <c r="A33" s="9" t="n">
        <v>32</v>
      </c>
      <c r="B33" s="9" t="inlineStr">
        <is>
          <t>Agrupar notificações por natureza e por tempo</t>
        </is>
      </c>
      <c r="C33" s="9" t="inlineStr">
        <is>
          <t>Teste concluído e conta criada na hora; devolutiva atrasada e comunidade em resumo diário; curtida e comentário não notificam o dono.</t>
        </is>
      </c>
      <c r="D33" s="9" t="inlineStr">
        <is>
          <t>Infra</t>
        </is>
      </c>
      <c r="E33" s="9" t="inlineStr">
        <is>
          <t>Planejado</t>
        </is>
      </c>
      <c r="F33" s="9" t="n">
        <v>32</v>
      </c>
      <c r="G33" s="9" t="inlineStr">
        <is>
          <t>Claude</t>
        </is>
      </c>
      <c r="H33" s="9" t="inlineStr">
        <is>
          <t>docs/plano-area-do-aluno.md § Anexo 2, O problema</t>
        </is>
      </c>
      <c r="I33" s="9" t="inlineStr">
        <is>
          <t>Sem agrupar, com 200 avaliados a caixa vira ruído e ele ignora tudo.</t>
        </is>
      </c>
    </row>
    <row r="34">
      <c r="A34" s="9" t="n">
        <v>33</v>
      </c>
      <c r="B34" s="9" t="inlineStr">
        <is>
          <t>Preferências de notificação por pessoa</t>
        </is>
      </c>
      <c r="C34" s="9" t="inlineStr">
        <is>
          <t>Cada papel escolhe o que quer receber; sem isso quem se incomodar vai ignorar tudo.</t>
        </is>
      </c>
      <c r="D34" s="9" t="inlineStr">
        <is>
          <t>Infra</t>
        </is>
      </c>
      <c r="E34" s="9" t="inlineStr">
        <is>
          <t>Planejado</t>
        </is>
      </c>
      <c r="F34" s="9" t="n">
        <v>33</v>
      </c>
      <c r="G34" s="9" t="inlineStr">
        <is>
          <t>Claude</t>
        </is>
      </c>
      <c r="H34" s="9" t="inlineStr">
        <is>
          <t>docs/plano-area-do-aluno.md § Anexo 2 item 4</t>
        </is>
      </c>
      <c r="I34" s="9" t="inlineStr">
        <is>
          <t>Cada papel precisa escolher o que recebe, senão desliga tudo.</t>
        </is>
      </c>
    </row>
    <row r="35">
      <c r="A35" s="9" t="n">
        <v>34</v>
      </c>
      <c r="B35" s="9" t="inlineStr">
        <is>
          <t>Cortar a coluna Realizada por período</t>
        </is>
      </c>
      <c r="C35" s="9" t="inlineStr">
        <is>
          <t>A coluna cresce para sempre e vira ruído; corte para os últimos 90 dias com filtro para ver o resto.</t>
        </is>
      </c>
      <c r="D35" s="9" t="inlineStr">
        <is>
          <t>Agenda</t>
        </is>
      </c>
      <c r="E35" s="9" t="inlineStr">
        <is>
          <t>Concluído</t>
        </is>
      </c>
      <c r="F35" s="9" t="n">
        <v>34</v>
      </c>
      <c r="G35" s="9" t="inlineStr">
        <is>
          <t>Claude</t>
        </is>
      </c>
      <c r="H35" s="9" t="inlineStr">
        <is>
          <t>docs/plano-menu-gestao.md § Etapa 1, Adequação provável</t>
        </is>
      </c>
      <c r="I35" s="9" t="inlineStr">
        <is>
          <t>Varredura completa do Claude Code, 03/08 (11 áreas, 237 demandas), cruzada com a varredura independente do chat. ÓRFÃ: o objeto desta demanda (Kanban de devolutivas) foi apagado em 31/07, quando o menu Mentorias substituiu Devolutivas. Não há mais o que fazer nem o que decidir. Registro mantido para o histórico não mentir sobre o que já foi planejado.</t>
        </is>
      </c>
    </row>
    <row r="36">
      <c r="A36" s="9" t="n">
        <v>35</v>
      </c>
      <c r="B36" s="9" t="inlineStr">
        <is>
          <t>Decidir o destino do plano de ação de 6 perguntas</t>
        </is>
      </c>
      <c r="C36" s="9" t="inlineStr">
        <is>
          <t>O questionário atual fica, sai ou vira a aba SWOT — com as abas de trabalho os dois se sobrepõem.</t>
        </is>
      </c>
      <c r="D36" s="9" t="inlineStr">
        <is>
          <t>Relatórios</t>
        </is>
      </c>
      <c r="E36" s="9" t="inlineStr">
        <is>
          <t>Concluído</t>
        </is>
      </c>
      <c r="F36" s="9" t="n">
        <v>35</v>
      </c>
      <c r="G36" s="9" t="inlineStr">
        <is>
          <t>Matheus</t>
        </is>
      </c>
      <c r="H36" s="9" t="inlineStr">
        <is>
          <t>docs/plano-painel-devolutiva.md § 5 decisão 1 · referencia-cis-painel-devolutiva.md</t>
        </is>
      </c>
      <c r="I36"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37">
      <c r="A37" s="9" t="n">
        <v>36</v>
      </c>
      <c r="B37" s="9" t="inlineStr">
        <is>
          <t>Decidir se a devolutiva cobre bateria ou teste avulso</t>
        </is>
      </c>
      <c r="C37" s="9" t="inlineStr">
        <is>
          <t>Muda quantos cartões o painel de devolutiva precisa aguentar.</t>
        </is>
      </c>
      <c r="D37" s="9" t="inlineStr">
        <is>
          <t>Relatórios</t>
        </is>
      </c>
      <c r="E37" s="9" t="inlineStr">
        <is>
          <t>Concluído</t>
        </is>
      </c>
      <c r="F37" s="9" t="n">
        <v>36</v>
      </c>
      <c r="G37" s="9" t="inlineStr">
        <is>
          <t>Matheus</t>
        </is>
      </c>
      <c r="H37" s="9" t="inlineStr">
        <is>
          <t>docs/plano-painel-devolutiva.md § 5 decisão 4 · referencia-cis-painel-devolutiva.md</t>
        </is>
      </c>
      <c r="I37"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38">
      <c r="A38" s="9" t="n">
        <v>37</v>
      </c>
      <c r="B38" s="9" t="inlineStr">
        <is>
          <t>Decidir a fonte do conteúdo de medos e pontos</t>
        </is>
      </c>
      <c r="C38" s="9" t="inlineStr">
        <is>
          <t>Reaproveitar o conteúdo derivado do DISC ou escrever listas próprias para a devolutiva.</t>
        </is>
      </c>
      <c r="D38" s="9" t="inlineStr">
        <is>
          <t>Conteúdo</t>
        </is>
      </c>
      <c r="E38" s="9" t="inlineStr">
        <is>
          <t>Concluído</t>
        </is>
      </c>
      <c r="F38" s="9" t="n">
        <v>37</v>
      </c>
      <c r="G38" s="9" t="inlineStr">
        <is>
          <t>Matheus</t>
        </is>
      </c>
      <c r="H38" s="9" t="inlineStr">
        <is>
          <t>docs/plano-painel-devolutiva.md § 5 decisão 2 · referencia-cis-painel-devolutiva.md</t>
        </is>
      </c>
      <c r="I38"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39">
      <c r="A39" s="9" t="n">
        <v>38</v>
      </c>
      <c r="B39" s="9" t="inlineStr">
        <is>
          <t>Plano de ação ainda é questionário respondido sozinho</t>
        </is>
      </c>
      <c r="C39" s="9" t="inlineStr">
        <is>
          <t>action_plans são 6 perguntas abertas que a pessoa preenche depois; no CIS o plano é construído durante a conversa.</t>
        </is>
      </c>
      <c r="D39" s="9" t="inlineStr">
        <is>
          <t>Relatórios</t>
        </is>
      </c>
      <c r="E39" s="9" t="inlineStr">
        <is>
          <t>Concluído</t>
        </is>
      </c>
      <c r="F39" s="9" t="n">
        <v>38</v>
      </c>
      <c r="G39" s="9" t="inlineStr">
        <is>
          <t>Claude</t>
        </is>
      </c>
      <c r="H39" s="9" t="inlineStr">
        <is>
          <t>docs/plano-painel-devolutiva.md § 3 · referencia-cis-painel-devolutiva.md</t>
        </is>
      </c>
      <c r="I39"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0">
      <c r="A40" s="9" t="n">
        <v>39</v>
      </c>
      <c r="B40" s="9" t="inlineStr">
        <is>
          <t>Tabela devolutiva_itens e abas de trabalho (Fase 3)</t>
        </is>
      </c>
      <c r="C40" s="9" t="inlineStr">
        <is>
          <t>Uma linha por item trabalhado, para o plano de ação virar acordo construído na conversa.</t>
        </is>
      </c>
      <c r="D40" s="9" t="inlineStr">
        <is>
          <t>Relatórios</t>
        </is>
      </c>
      <c r="E40" s="9" t="inlineStr">
        <is>
          <t>Concluído</t>
        </is>
      </c>
      <c r="F40" s="9" t="n">
        <v>39</v>
      </c>
      <c r="G40" s="9" t="inlineStr">
        <is>
          <t>Claude</t>
        </is>
      </c>
      <c r="H40" s="9" t="inlineStr">
        <is>
          <t>docs/plano-painel-devolutiva.md § 4 Fase 3</t>
        </is>
      </c>
      <c r="I40"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1">
      <c r="A41" s="9" t="n">
        <v>40</v>
      </c>
      <c r="B41" s="9" t="inlineStr">
        <is>
          <t>Cronômetro de sessão da devolutiva (Fase 2)</t>
        </is>
      </c>
      <c r="C41" s="9" t="inlineStr">
        <is>
          <t>Iniciar, pausar e finalizar; ao finalizar grava duration_min e completed_at sozinho.</t>
        </is>
      </c>
      <c r="D41" s="9" t="inlineStr">
        <is>
          <t>Relatórios</t>
        </is>
      </c>
      <c r="E41" s="9" t="inlineStr">
        <is>
          <t>Concluído</t>
        </is>
      </c>
      <c r="F41" s="9" t="n">
        <v>40</v>
      </c>
      <c r="G41" s="9" t="inlineStr">
        <is>
          <t>Claude</t>
        </is>
      </c>
      <c r="H41" s="9" t="inlineStr">
        <is>
          <t>docs/plano-painel-devolutiva.md § 4 Fase 2</t>
        </is>
      </c>
      <c r="I41"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2">
      <c r="A42" s="9" t="n">
        <v>41</v>
      </c>
      <c r="B42" s="9" t="inlineStr">
        <is>
          <t>Nota rápida durante a devolutiva (Fase 2)</t>
        </is>
      </c>
      <c r="C42" s="9" t="inlineStr">
        <is>
          <t>Botão que acrescenta uma linha ao campo notes sem sair da tela da sessão.</t>
        </is>
      </c>
      <c r="D42" s="9" t="inlineStr">
        <is>
          <t>Relatórios</t>
        </is>
      </c>
      <c r="E42" s="9" t="inlineStr">
        <is>
          <t>Concluído</t>
        </is>
      </c>
      <c r="F42" s="9" t="n">
        <v>41</v>
      </c>
      <c r="G42" s="9" t="inlineStr">
        <is>
          <t>Claude</t>
        </is>
      </c>
      <c r="H42" s="9" t="inlineStr">
        <is>
          <t>docs/plano-painel-devolutiva.md § 4 Fase 2</t>
        </is>
      </c>
      <c r="I42"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3">
      <c r="A43" s="9" t="n">
        <v>42</v>
      </c>
      <c r="B43" s="9" t="inlineStr">
        <is>
          <t>Aba Medos com nota 0-10 e decisão</t>
        </is>
      </c>
      <c r="C43" s="9" t="inlineStr">
        <is>
          <t>Um cartão por medo derivado do DISC, com slider e campo para a decisão tomada na conversa.</t>
        </is>
      </c>
      <c r="D43" s="9" t="inlineStr">
        <is>
          <t>Relatórios</t>
        </is>
      </c>
      <c r="E43" s="9" t="inlineStr">
        <is>
          <t>Concluído</t>
        </is>
      </c>
      <c r="F43" s="9" t="n">
        <v>42</v>
      </c>
      <c r="G43" s="9" t="inlineStr">
        <is>
          <t>Claude</t>
        </is>
      </c>
      <c r="H43" s="9" t="inlineStr">
        <is>
          <t>docs/plano-painel-devolutiva.md § 4 Fase 3</t>
        </is>
      </c>
      <c r="I43"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4">
      <c r="A44" s="9" t="n">
        <v>43</v>
      </c>
      <c r="B44" s="9" t="inlineStr">
        <is>
          <t>Aba Pontos a desenvolver (checklist)</t>
        </is>
      </c>
      <c r="C44" s="9" t="inlineStr">
        <is>
          <t>Checklist de comportamentos a evitar, montado a partir dos blocos de conteúdo existentes.</t>
        </is>
      </c>
      <c r="D44" s="9" t="inlineStr">
        <is>
          <t>Relatórios</t>
        </is>
      </c>
      <c r="E44" s="9" t="inlineStr">
        <is>
          <t>Concluído</t>
        </is>
      </c>
      <c r="F44" s="9" t="n">
        <v>43</v>
      </c>
      <c r="G44" s="9" t="inlineStr">
        <is>
          <t>Claude</t>
        </is>
      </c>
      <c r="H44" s="9" t="inlineStr">
        <is>
          <t>docs/plano-painel-devolutiva.md § 4 Fase 3</t>
        </is>
      </c>
      <c r="I44"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5">
      <c r="A45" s="9" t="n">
        <v>44</v>
      </c>
      <c r="B45" s="9" t="inlineStr">
        <is>
          <t>Aba Competências-alvo (até 8 das 16)</t>
        </is>
      </c>
      <c r="C45" s="9" t="inlineStr">
        <is>
          <t>Seleção de até 8 competências para focar o plano de ação construído na devolutiva.</t>
        </is>
      </c>
      <c r="D45" s="9" t="inlineStr">
        <is>
          <t>Relatórios</t>
        </is>
      </c>
      <c r="E45" s="9" t="inlineStr">
        <is>
          <t>Concluído</t>
        </is>
      </c>
      <c r="F45" s="9" t="n">
        <v>44</v>
      </c>
      <c r="G45" s="9" t="inlineStr">
        <is>
          <t>Claude</t>
        </is>
      </c>
      <c r="H45" s="9" t="inlineStr">
        <is>
          <t>docs/plano-painel-devolutiva.md § 4 Fase 3</t>
        </is>
      </c>
      <c r="I45"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6">
      <c r="A46" s="9" t="n">
        <v>45</v>
      </c>
      <c r="B46" s="9" t="inlineStr">
        <is>
          <t>Aba SWOT com quatro quadrantes</t>
        </is>
      </c>
      <c r="C46" s="9" t="inlineStr">
        <is>
          <t>Cada quadrante com pergunta e campo livre preenchido durante a conversa.</t>
        </is>
      </c>
      <c r="D46" s="9" t="inlineStr">
        <is>
          <t>Relatórios</t>
        </is>
      </c>
      <c r="E46" s="9" t="inlineStr">
        <is>
          <t>Concluído</t>
        </is>
      </c>
      <c r="F46" s="9" t="n">
        <v>45</v>
      </c>
      <c r="G46" s="9" t="inlineStr">
        <is>
          <t>Claude</t>
        </is>
      </c>
      <c r="H46" s="9" t="inlineStr">
        <is>
          <t>docs/plano-painel-devolutiva.md § 4 Fase 3</t>
        </is>
      </c>
      <c r="I46"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7">
      <c r="A47" s="9" t="n">
        <v>46</v>
      </c>
      <c r="B47" s="9" t="inlineStr">
        <is>
          <t>Exportar o painel preenchido em PDF com a marca</t>
        </is>
      </c>
      <c r="C47" s="9" t="inlineStr">
        <is>
          <t>Fechamento da devolutiva usando o white label que já existe.</t>
        </is>
      </c>
      <c r="D47" s="9" t="inlineStr">
        <is>
          <t>Relatórios</t>
        </is>
      </c>
      <c r="E47" s="9" t="inlineStr">
        <is>
          <t>Concluído</t>
        </is>
      </c>
      <c r="F47" s="9" t="n">
        <v>46</v>
      </c>
      <c r="G47" s="9" t="inlineStr">
        <is>
          <t>Claude</t>
        </is>
      </c>
      <c r="H47" s="9" t="inlineStr">
        <is>
          <t>docs/plano-painel-devolutiva.md § 4 Fase 4</t>
        </is>
      </c>
      <c r="I47"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8">
      <c r="A48" s="9" t="n">
        <v>47</v>
      </c>
      <c r="B48" s="9" t="inlineStr">
        <is>
          <t>Enviar o painel por e-mail ao avaliado</t>
        </is>
      </c>
      <c r="C48" s="9" t="inlineStr">
        <is>
          <t>Ao encerrar a devolutiva, mandar o resultado da sessão pelo Resend.</t>
        </is>
      </c>
      <c r="D48" s="9" t="inlineStr">
        <is>
          <t>Relatórios</t>
        </is>
      </c>
      <c r="E48" s="9" t="inlineStr">
        <is>
          <t>Concluído</t>
        </is>
      </c>
      <c r="F48" s="9" t="n">
        <v>47</v>
      </c>
      <c r="G48" s="9" t="inlineStr">
        <is>
          <t>Claude</t>
        </is>
      </c>
      <c r="H48" s="9" t="inlineStr">
        <is>
          <t>docs/plano-painel-devolutiva.md § 4 Fase 4</t>
        </is>
      </c>
      <c r="I48"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49">
      <c r="A49" s="9" t="n">
        <v>48</v>
      </c>
      <c r="B49" s="9" t="inlineStr">
        <is>
          <t>Aba Livros por competência</t>
        </is>
      </c>
      <c r="C49" s="9" t="inlineStr">
        <is>
          <t>Leituras ligadas às competências mais baixas; depende dele montar um acervo curado.</t>
        </is>
      </c>
      <c r="D49" s="9" t="inlineStr">
        <is>
          <t>Conteúdo</t>
        </is>
      </c>
      <c r="E49" s="9" t="inlineStr">
        <is>
          <t>Concluído</t>
        </is>
      </c>
      <c r="F49" s="9" t="n">
        <v>48</v>
      </c>
      <c r="G49" s="9" t="inlineStr">
        <is>
          <t>Matheus</t>
        </is>
      </c>
      <c r="H49" s="9" t="inlineStr">
        <is>
          <t>docs/plano-painel-devolutiva.md § 4 Fase 4 e § 5 decisão 3 · referencia-cis-painel-devolutiva.md</t>
        </is>
      </c>
      <c r="I49" s="9" t="inlineStr">
        <is>
          <t>CANCELADA em 31/07 pela decisão do menu Mentorias: o painel de devolutiva mapeado do CIS foi removido. O princípio que importava — o plano é construído na conversa, não respondido sozinho depois — sobrevive como o checklist do pós-mentoria (ver docs/plano-mentorias.md). Registro mantido para o histórico não mentir sobre o que foi planejado.</t>
        </is>
      </c>
    </row>
    <row r="50">
      <c r="A50" s="9" t="n">
        <v>49</v>
      </c>
      <c r="B50" s="9" t="inlineStr">
        <is>
          <t>Design dos relatórios</t>
        </is>
      </c>
      <c r="C50" s="9" t="inlineStr">
        <is>
          <t>Retrabalho visual dos relatórios; o conteúdo e a profundidade já foram fechados.</t>
        </is>
      </c>
      <c r="D50" s="9" t="inlineStr">
        <is>
          <t>Relatórios</t>
        </is>
      </c>
      <c r="E50" s="9" t="inlineStr">
        <is>
          <t>Planejado</t>
        </is>
      </c>
      <c r="F50" s="9" t="n">
        <v>49</v>
      </c>
      <c r="G50" s="9" t="inlineStr">
        <is>
          <t>Claude</t>
        </is>
      </c>
      <c r="H50" s="9" t="inlineStr">
        <is>
          <t>docs/plano-demandas-30-07.md § Menor prioridade · estado-atual-e-fila.md item 15</t>
        </is>
      </c>
      <c r="I50" s="9" t="inlineStr">
        <is>
          <t>O conteúdo já está fechado; falta o visual, e ele mesmo disse: estrutura antes.
[CONGELADA em 03/08 por decisão do Matheus: melhorias e conferência de testes só entram quando ele disser que quer mexer nos testes. Não propor, não incluir em leva, não sugerir como próxima — até ele abrir a fase.]</t>
        </is>
      </c>
    </row>
    <row r="51">
      <c r="A51" s="9" t="n">
        <v>50</v>
      </c>
      <c r="B51" s="9" t="inlineStr">
        <is>
          <t>Link do teste levando ao painel, não direto ao teste</t>
        </is>
      </c>
      <c r="C51" s="9" t="inlineStr">
        <is>
          <t>O link enviado passaria a abrir o painel do aluno, com os testes listados lá dentro.</t>
        </is>
      </c>
      <c r="D51" s="9" t="inlineStr">
        <is>
          <t>Academy</t>
        </is>
      </c>
      <c r="E51" s="9" t="inlineStr">
        <is>
          <t>Planejado</t>
        </is>
      </c>
      <c r="F51" s="9" t="n">
        <v>50</v>
      </c>
      <c r="G51" s="9" t="inlineStr">
        <is>
          <t>Claude</t>
        </is>
      </c>
      <c r="H51" s="9" t="inlineStr">
        <is>
          <t>docs/plano-area-do-aluno.md § 1 item 2</t>
        </is>
      </c>
      <c r="I51" s="9" t="inlineStr">
        <is>
          <t>Muda a porta de entrada de todo mundo, então vem antes das telas novas do aluno.</t>
        </is>
      </c>
    </row>
    <row r="52">
      <c r="A52" s="9" t="n">
        <v>51</v>
      </c>
      <c r="B52" s="9" t="inlineStr">
        <is>
          <t>Mentor vê pontuação e ranking na tela do grupo</t>
        </is>
      </c>
      <c r="C52" s="9" t="inlineStr">
        <is>
          <t>Tudo que o aluno vê fica visível para o mentor, com pontuação e ranking dentro da tela do grupo.</t>
        </is>
      </c>
      <c r="D52" s="9" t="inlineStr">
        <is>
          <t>Academy</t>
        </is>
      </c>
      <c r="E52" s="9" t="inlineStr">
        <is>
          <t>Concluído</t>
        </is>
      </c>
      <c r="F52" s="9" t="n">
        <v>51</v>
      </c>
      <c r="G52" s="9" t="inlineStr">
        <is>
          <t>Claude</t>
        </is>
      </c>
      <c r="H52" s="9" t="inlineStr">
        <is>
          <t>docs/plano-area-do-aluno.md § 5</t>
        </is>
      </c>
      <c r="I52" s="9" t="inlineStr">
        <is>
          <t>Varredura completa do Claude Code, 03/08 (11 áreas, 237 demandas), cruzada com a varredura independente do chat. Aba Ranking em _app.grupos.$id.tsx:146, render em :251. No ar há dias.</t>
        </is>
      </c>
    </row>
    <row r="53">
      <c r="A53" s="9" t="n">
        <v>52</v>
      </c>
      <c r="B53" s="9" t="inlineStr">
        <is>
          <t>Perfil do aluno com empresa, banner e redes</t>
        </is>
      </c>
      <c r="C53" s="9" t="inlineStr">
        <is>
          <t>Enriquecer o perfil do aluno com empresa, banner de capa e links de redes sociais.</t>
        </is>
      </c>
      <c r="D53" s="9" t="inlineStr">
        <is>
          <t>Plataforma</t>
        </is>
      </c>
      <c r="E53" s="9" t="inlineStr">
        <is>
          <t>Planejado</t>
        </is>
      </c>
      <c r="F53" s="9" t="n">
        <v>52</v>
      </c>
      <c r="G53" s="9" t="inlineStr">
        <is>
          <t>Claude</t>
        </is>
      </c>
      <c r="H53" s="9" t="inlineStr">
        <is>
          <t>docs/plano-demandas-30-07.md § Menor prioridade · estado-atual-e-fila.md item 9</t>
        </is>
      </c>
      <c r="I53" s="9" t="inlineStr">
        <is>
          <t>Enriquece o perfil e alimenta a comunidade que vem depois.</t>
        </is>
      </c>
    </row>
    <row r="54">
      <c r="A54" s="9" t="n">
        <v>53</v>
      </c>
      <c r="B54" s="9" t="inlineStr">
        <is>
          <t>Publicar o resultado do teste na comunidade</t>
        </is>
      </c>
      <c r="C54" s="9" t="inlineStr">
        <is>
          <t>Item I/10: cartão do resultado no feed, só o próprio avaliado publica o dele, com aviso de quem vê e opção de remover.</t>
        </is>
      </c>
      <c r="D54" s="9" t="inlineStr">
        <is>
          <t>Comunidade</t>
        </is>
      </c>
      <c r="E54" s="9" t="inlineStr">
        <is>
          <t>Planejado</t>
        </is>
      </c>
      <c r="F54" s="9" t="n">
        <v>53</v>
      </c>
      <c r="G54" s="9" t="inlineStr">
        <is>
          <t>Claude</t>
        </is>
      </c>
      <c r="H54" s="9" t="inlineStr">
        <is>
          <t>docs/plano-demandas-30-07.md § I · docs/plano-area-do-aluno.md § 3 e Ordem de execução item 7 · estado-atual-e</t>
        </is>
      </c>
      <c r="I54" s="9" t="inlineStr">
        <is>
          <t>Ele autorizou; publicar é irreversível, então precisa de aviso claro e botão de remover.</t>
        </is>
      </c>
    </row>
    <row r="55">
      <c r="A55" s="9" t="n">
        <v>54</v>
      </c>
      <c r="B55" s="9" t="inlineStr">
        <is>
          <t>Enquete na comunidade</t>
        </is>
      </c>
      <c r="C55" s="9" t="inlineStr">
        <is>
          <t>Pergunta com opções e voto dentro do feed.</t>
        </is>
      </c>
      <c r="D55" s="9" t="inlineStr">
        <is>
          <t>Comunidade</t>
        </is>
      </c>
      <c r="E55" s="9" t="inlineStr">
        <is>
          <t>Planejado</t>
        </is>
      </c>
      <c r="F55" s="9" t="n">
        <v>54</v>
      </c>
      <c r="G55" s="9" t="inlineStr">
        <is>
          <t>Claude</t>
        </is>
      </c>
      <c r="H55" s="9" t="inlineStr">
        <is>
          <t>docs/plano-demandas-30-07.md § H · estado-atual-e-fila.md item 13</t>
        </is>
      </c>
      <c r="I55" s="9" t="inlineStr">
        <is>
          <t>Pedido dele para o feed, sem dependência de nada.</t>
        </is>
      </c>
    </row>
    <row r="56">
      <c r="A56" s="9" t="n">
        <v>55</v>
      </c>
      <c r="B56" s="9" t="inlineStr">
        <is>
          <t>Menções com @ na comunidade</t>
        </is>
      </c>
      <c r="C56" s="9" t="inlineStr">
        <is>
          <t>Escrever @ abre a lista de membros do grupo; quem for marcado recebe notificação pelo sino.</t>
        </is>
      </c>
      <c r="D56" s="9" t="inlineStr">
        <is>
          <t>Comunidade</t>
        </is>
      </c>
      <c r="E56" s="9" t="inlineStr">
        <is>
          <t>Planejado</t>
        </is>
      </c>
      <c r="F56" s="9" t="n">
        <v>55</v>
      </c>
      <c r="G56" s="9" t="inlineStr">
        <is>
          <t>Claude</t>
        </is>
      </c>
      <c r="H56" s="9" t="inlineStr">
        <is>
          <t>docs/plano-demandas-30-07.md § H · estado-atual-e-fila.md item 13</t>
        </is>
      </c>
      <c r="I56" s="9" t="inlineStr">
        <is>
          <t>Usa o sino que já existe; é engajamento barato.</t>
        </is>
      </c>
    </row>
    <row r="57">
      <c r="A57" s="9" t="n">
        <v>56</v>
      </c>
      <c r="B57" s="9" t="inlineStr">
        <is>
          <t>Evento no feed da comunidade</t>
        </is>
      </c>
      <c r="C57" s="9" t="inlineStr">
        <is>
          <t>Reaproveitar o evento da Agenda dentro do feed, aparecendo como cartão.</t>
        </is>
      </c>
      <c r="D57" s="9" t="inlineStr">
        <is>
          <t>Comunidade</t>
        </is>
      </c>
      <c r="E57" s="9" t="inlineStr">
        <is>
          <t>Planejado</t>
        </is>
      </c>
      <c r="F57" s="9" t="n">
        <v>56</v>
      </c>
      <c r="G57" s="9" t="inlineStr">
        <is>
          <t>Claude</t>
        </is>
      </c>
      <c r="H57" s="9" t="inlineStr">
        <is>
          <t>docs/plano-demandas-30-07.md § H · estado-atual-e-fila.md item 13</t>
        </is>
      </c>
      <c r="I57" s="9" t="inlineStr">
        <is>
          <t>Reaproveita o evento da Agenda como cartão, sem estrutura nova.</t>
        </is>
      </c>
    </row>
    <row r="58">
      <c r="A58" s="9" t="n">
        <v>57</v>
      </c>
      <c r="B58" s="9" t="inlineStr">
        <is>
          <t>Decidir quem paga e qual o teto do assistente de IA</t>
        </is>
      </c>
      <c r="C58" s="9" t="inlineStr">
        <is>
          <t>O assistente de IA da Academy é o único item da lista inteira com custo recorrente por uso. O plano registra que a decisão precisa vir antes da construção — quem paga e qual o teto —, senão aparece como surpresa na fatura. A decis</t>
        </is>
      </c>
      <c r="D58" s="9" t="inlineStr">
        <is>
          <t>Academy / IA</t>
        </is>
      </c>
      <c r="E58" s="9" t="inlineStr">
        <is>
          <t>Planejado</t>
        </is>
      </c>
      <c r="F58" s="9" t="n">
        <v>57</v>
      </c>
      <c r="G58" s="9" t="inlineStr">
        <is>
          <t>Matheus</t>
        </is>
      </c>
      <c r="H58" s="9" t="inlineStr">
        <is>
          <t>docs/plano-demandas-30-07.md, "Menor prioridade" (⚠️ custo recorrente) e tabela de pendências apresentada a el</t>
        </is>
      </c>
      <c r="I58" s="9" t="inlineStr">
        <is>
          <t>É o único item com custo por uso; sem teto definido vira surpresa na fatura.</t>
        </is>
      </c>
    </row>
    <row r="59">
      <c r="A59" s="9" t="n">
        <v>58</v>
      </c>
      <c r="B59" s="9" t="inlineStr">
        <is>
          <t>Assistente de IA na plataforma</t>
        </is>
      </c>
      <c r="C59" s="9" t="inlineStr">
        <is>
          <t>Assistente de IA dentro da Academy; único item com custo recorrente por uso.</t>
        </is>
      </c>
      <c r="D59" s="9" t="inlineStr">
        <is>
          <t>Academy</t>
        </is>
      </c>
      <c r="E59" s="9" t="inlineStr">
        <is>
          <t>Planejado</t>
        </is>
      </c>
      <c r="F59" s="9" t="n">
        <v>58</v>
      </c>
      <c r="G59" s="9" t="inlineStr">
        <is>
          <t>Matheus</t>
        </is>
      </c>
      <c r="H59" s="9" t="inlineStr">
        <is>
          <t>docs/plano-demandas-30-07.md § Menor prioridade · estado-atual-e-fila.md item 18</t>
        </is>
      </c>
      <c r="I59" s="9" t="inlineStr">
        <is>
          <t>Travado até a decisão de custo sair.</t>
        </is>
      </c>
    </row>
    <row r="60">
      <c r="A60" s="9" t="n">
        <v>59</v>
      </c>
      <c r="B60" s="9" t="inlineStr">
        <is>
          <t>Desenhar escopo por chave, uso e revogação antes do menu Integrações</t>
        </is>
      </c>
      <c r="C60" s="9" t="inlineStr">
        <is>
          <t>O menu Integrações via API é o item mais arriscado do backlog: dar chave de API a terceiros abre a porta dos dados de todo mundo. O plano é explícito — exige escopo por chave, registro de uso e revogação, e "não começar sem desenh</t>
        </is>
      </c>
      <c r="D60" s="9" t="inlineStr">
        <is>
          <t>Integrações</t>
        </is>
      </c>
      <c r="E60" s="9" t="inlineStr">
        <is>
          <t>Planejado</t>
        </is>
      </c>
      <c r="F60" s="9" t="n">
        <v>59</v>
      </c>
      <c r="G60" s="9" t="inlineStr">
        <is>
          <t>Claude</t>
        </is>
      </c>
      <c r="H60" s="9" t="inlineStr">
        <is>
          <t>docs/plano-demandas-30-07.md, "Menor prioridade" (⚠️ o mais arriscado)</t>
        </is>
      </c>
      <c r="I60" s="9" t="inlineStr">
        <is>
          <t>Chave de API sem escopo abre os dados de todo mundo; o desenho vem antes do código.</t>
        </is>
      </c>
    </row>
    <row r="61">
      <c r="A61" s="9" t="n">
        <v>60</v>
      </c>
      <c r="B61" s="9" t="inlineStr">
        <is>
          <t>Menu Integrações via API</t>
        </is>
      </c>
      <c r="C61" s="9" t="inlineStr">
        <is>
          <t>Chaves de API para terceiros; exige escopo por chave, registro de uso e revogação.</t>
        </is>
      </c>
      <c r="D61" s="9" t="inlineStr">
        <is>
          <t>Infra</t>
        </is>
      </c>
      <c r="E61" s="9" t="inlineStr">
        <is>
          <t>Planejado</t>
        </is>
      </c>
      <c r="F61" s="9" t="n">
        <v>60</v>
      </c>
      <c r="G61" s="9" t="inlineStr">
        <is>
          <t>Claude</t>
        </is>
      </c>
      <c r="H61" s="9" t="inlineStr">
        <is>
          <t>docs/plano-demandas-30-07.md § Menor prioridade · estado-atual-e-fila.md item 19</t>
        </is>
      </c>
      <c r="I61" s="9" t="inlineStr">
        <is>
          <t>Só começa depois que o desenho de escopo e revogação estiver de pé.</t>
        </is>
      </c>
    </row>
    <row r="62">
      <c r="A62" s="9" t="n">
        <v>61</v>
      </c>
      <c r="B62" s="9" t="inlineStr">
        <is>
          <t>Tela de consentimento do Google é Internal</t>
        </is>
      </c>
      <c r="C62" s="9" t="inlineStr">
        <is>
          <t>Só contas @metodointencao.com.br entram com Google; abrir para mentores de outros domínios exige virar External e passar pela verificação.</t>
        </is>
      </c>
      <c r="D62" s="9" t="inlineStr">
        <is>
          <t>Infra</t>
        </is>
      </c>
      <c r="E62" s="9" t="inlineStr">
        <is>
          <t>Planejado</t>
        </is>
      </c>
      <c r="F62" s="9" t="n">
        <v>61</v>
      </c>
      <c r="G62" s="9" t="inlineStr">
        <is>
          <t>Matheus</t>
        </is>
      </c>
      <c r="H62" s="9" t="inlineStr">
        <is>
          <t>publicacao-exige-cutover.md item 4</t>
        </is>
      </c>
      <c r="I62" s="9" t="inlineStr">
        <is>
          <t>Enquanto for Interno só o domínio dele entra com Google.</t>
        </is>
      </c>
    </row>
    <row r="63">
      <c r="A63" s="9" t="n">
        <v>62</v>
      </c>
      <c r="B63" s="9" t="inlineStr">
        <is>
          <t>Abrir o Google Calendar para alunos e mentores</t>
        </is>
      </c>
      <c r="C63" s="9" t="inlineStr">
        <is>
          <t>Ele pediu para não esquecer: enquanto o app for Interno, Gmail pessoal não conecta; abrir exige torná-lo Externo e passar pela verificação.</t>
        </is>
      </c>
      <c r="D63" s="9" t="inlineStr">
        <is>
          <t>Agenda</t>
        </is>
      </c>
      <c r="E63" s="9" t="inlineStr">
        <is>
          <t>Planejado</t>
        </is>
      </c>
      <c r="F63" s="9" t="n">
        <v>62</v>
      </c>
      <c r="G63" s="9" t="inlineStr">
        <is>
          <t>Matheus</t>
        </is>
      </c>
      <c r="H63" s="9" t="inlineStr">
        <is>
          <t>docs/google-calendar-passo-a-passo.md linhas 24-29 · backlog-menu-gestao.md item 2 · estado-atual-e-fila.md it</t>
        </is>
      </c>
      <c r="I63" s="9" t="inlineStr">
        <is>
          <t>Exige virar Externo e passar pela verificação do Google — decisão e trabalho dele.</t>
        </is>
      </c>
    </row>
    <row r="64">
      <c r="A64" s="9" t="n">
        <v>63</v>
      </c>
      <c r="B64" s="9" t="inlineStr">
        <is>
          <t>Cadastro público fechado — só a plataforma cria conta</t>
        </is>
      </c>
      <c r="C64" s="9" t="inlineStr">
        <is>
          <t>Conferido na API de auth em 03/08: mailer_autoconfirm=false (a confirmação está LIGADA de novo — o Matheus desligou em 31/07) e disable_signup=false (QUALQUER PESSOA da internet pode criar conta na plataforma). O segundo nunca tinha sido olhado.</t>
        </is>
      </c>
      <c r="D64" s="9" t="inlineStr">
        <is>
          <t>Infra</t>
        </is>
      </c>
      <c r="E64" s="9" t="inlineStr">
        <is>
          <t>Concluído</t>
        </is>
      </c>
      <c r="F64" s="9" t="n">
        <v>63</v>
      </c>
      <c r="G64" s="9" t="inlineStr">
        <is>
          <t>Matheus</t>
        </is>
      </c>
      <c r="H64" s="9" t="inlineStr">
        <is>
          <t>migracao-supabase-proprio.md § Falta ainda</t>
        </is>
      </c>
      <c r="I64" s="9" t="inlineStr">
        <is>
          <t>FECHADO pelo Matheus em 03/08, no painel do Supabase (Email provider → novos cadastros desligado). CONFERIDO POR FORA com teste real, não com a configuração: POST /auth/v1/signup com a chave pública devolve "Email signups are disabled". E o caminho de dentro continua vivo: admin/generate_link devolveu action_link normalmente, então criar conta no fim do teste, primeiro acesso e convite de equipe seguem funcionando. RESSALVA: o login com Google continua ativo e também cria conta — mas a tela de consentimento é Internal, então só e-mails @metodointencao.com.br entram. Vira porta aberta no dia em que a #61 abrir o Google para outros domínios. A confirmação de e-mail ficou LIGADA de propósito: com o cadastro fechado ela deixa de importar.</t>
        </is>
      </c>
    </row>
    <row r="65">
      <c r="A65" s="9" t="n">
        <v>64</v>
      </c>
      <c r="B65" s="9" t="inlineStr">
        <is>
          <t>Domínio personalizado</t>
        </is>
      </c>
      <c r="C65" s="9" t="inlineStr">
        <is>
          <t>Publicar em domínio próprio; quase todo o trabalho é DNS e é dele, e a troca mexe no endereço de retorno do login Google.</t>
        </is>
      </c>
      <c r="D65" s="9" t="inlineStr">
        <is>
          <t>Infra</t>
        </is>
      </c>
      <c r="E65" s="9" t="inlineStr">
        <is>
          <t>Concluído</t>
        </is>
      </c>
      <c r="F65" s="9" t="n">
        <v>64</v>
      </c>
      <c r="G65" s="9" t="inlineStr">
        <is>
          <t>Matheus</t>
        </is>
      </c>
      <c r="H65" s="9" t="inlineStr">
        <is>
          <t>docs/plano-demandas-30-07.md § Menor prioridade · estado-atual-e-fila.md item 16</t>
        </is>
      </c>
      <c r="I65" s="9" t="inlineStr">
        <is>
          <t>FECHADO 04/08. assessment.metodointencao.com.br está no ar (certificado válido, servindo a plataforma) desde antes desta demanda -- o trabalho aqui foi o código passar a saber disso. Achados 4 lugares com o endereço do Lovable escrito à mão (acesso-aluno.functions.ts x2, team.functions.ts, google.server.ts), todos usando 3 nomes de variável diferentes para a mesma coisa (SITE_URL, APP_URL, APP_APP_URL). Unificados numa função só (site-url.server.ts), com fallback já apontando para o domínio novo. Configurado o secret SITE_URL no Lovable (Cloud -&gt; Secrets) com o domínio novo. Publicado (deployment 37d3fa15), typecheck e build limpos. PROVADO com login real: (1) convite de teste enviado para o próprio e-mail -- o link aponta para o domínio novo; (2) login com Google PELO domínio novo completa (redirect_uri conferido byte a byte na URL de autorização do Google: https://assessment.metodointencao.com.br/api/google/callback, batendo com o que o Matheus já tinha autorizado no Cloud Console); (3) domínio antigo (persona-compass-suite.lovable.app) redireciona automaticamente (302) para o novo em TODAS as rotas -- comportamento do próprio Lovable ao anexar domínio próprio, não algo configurado aqui -- então o 'convívio dos dois domínios' pedido na demanda já está garantido pela plataforma, e testar login pelo domínio antigo seria repetir o mesmo teste do novo (o bounce acontece antes de qualquer código do app rodar). Achado extra, fora do escopo original: a mudança de domínio também exigiu atualizar o campo 'Site URL' do Supabase Auth (Authentication &gt; URL Configuration) -- sem isso, o link de primeiro acesso abria mas o redirecionamento final do magic link continuava batendo no domínio antigo, mesmo com o novo já na lista de Redirect URLs. Confirmado seguindo o link de verdade (curl -D -), não só lendo a resposta da API. Domínio do Lovable NÃO foi aposentado -- decisão do Matheus, depois de semanas sem incidente.</t>
        </is>
      </c>
    </row>
    <row r="66">
      <c r="A66" s="9" t="n">
        <v>65</v>
      </c>
      <c r="B66" s="9" t="inlineStr">
        <is>
          <t>Nome e marca da plataforma são personalizáveis (não é decisão)</t>
        </is>
      </c>
      <c r="C66" s="9" t="inlineStr">
        <is>
          <t>Escolher entre 'Métrica Humana' (padrão atual) e 'Método Intenção'; tecnicamente é só preencher company_name.</t>
        </is>
      </c>
      <c r="D66" s="9" t="inlineStr">
        <is>
          <t>Plataforma</t>
        </is>
      </c>
      <c r="E66" s="9" t="inlineStr">
        <is>
          <t>Concluído</t>
        </is>
      </c>
      <c r="F66" s="9" t="n">
        <v>65</v>
      </c>
      <c r="G66" s="9" t="inlineStr">
        <is>
          <t>Matheus</t>
        </is>
      </c>
      <c r="H66" s="9" t="inlineStr">
        <is>
          <t>estado-atual-e-fila.md § Pendências que são DELE</t>
        </is>
      </c>
      <c r="I66" s="9" t="inlineStr">
        <is>
          <t>CANCELADA como decisão em 01/08, a pedido do Matheus. O nome NÃO é uma escolha a fazer: é um campo editável nas Configurações do master (profiles.company_name), que ele troca quando quiser. Já está preenchido com 'INTENÇÃO ASSESSEMENT'. Eu tratei como bloqueio o que é só um campo de texto — e cheguei a usar isso como argumento para adiar a #219, errado.</t>
        </is>
      </c>
    </row>
    <row r="67">
      <c r="A67" s="9" t="n">
        <v>66</v>
      </c>
      <c r="B67" s="9" t="inlineStr">
        <is>
          <t>Subir o DMARC de p=none para p=quarantine</t>
        </is>
      </c>
      <c r="C67" s="9" t="inlineStr">
        <is>
          <t>Passo com data (meados de agosto/2026), depois de acumular histórico de envio.</t>
        </is>
      </c>
      <c r="D67" s="9" t="inlineStr">
        <is>
          <t>Infra</t>
        </is>
      </c>
      <c r="E67" s="9" t="inlineStr">
        <is>
          <t>Planejado</t>
        </is>
      </c>
      <c r="F67" s="9" t="n">
        <v>66</v>
      </c>
      <c r="G67" s="9" t="inlineStr">
        <is>
          <t>Matheus</t>
        </is>
      </c>
      <c r="H67" s="9" t="inlineStr">
        <is>
          <t>estado-atual-e-fila.md § Com data · dns-registro-br-autenticacao-email.md</t>
        </is>
      </c>
      <c r="I67" s="9" t="inlineStr">
        <is>
          <t>Tem data marcada para meados de agosto e é mexida no DNS dele.</t>
        </is>
      </c>
    </row>
    <row r="68">
      <c r="A68" s="9" t="n">
        <v>67</v>
      </c>
      <c r="B68" s="9" t="inlineStr">
        <is>
          <t>Push do navegador (Web Push)</t>
        </is>
      </c>
      <c r="C68" s="9" t="inlineStr">
        <is>
          <t>Service worker, chaves VAPID e tabela de inscrições; no iPhone só funciona com a plataforma instalada como aplicativo.</t>
        </is>
      </c>
      <c r="D68" s="9" t="inlineStr">
        <is>
          <t>Infra</t>
        </is>
      </c>
      <c r="E68" s="9" t="inlineStr">
        <is>
          <t>Planejado</t>
        </is>
      </c>
      <c r="F68" s="9" t="n">
        <v>67</v>
      </c>
      <c r="G68" s="9" t="inlineStr">
        <is>
          <t>Claude</t>
        </is>
      </c>
      <c r="H68" s="9" t="inlineStr">
        <is>
          <t>docs/plano-area-do-aluno.md § Anexo 2 item 5 · feature-notificacoes.md linhas 40-42</t>
        </is>
      </c>
      <c r="I68" s="9" t="inlineStr">
        <is>
          <t>Trabalho grande e no iPhone só funciona com o app instalado; o sino já cobre o essencial.</t>
        </is>
      </c>
    </row>
    <row r="69">
      <c r="A69" s="9" t="n">
        <v>68</v>
      </c>
      <c r="B69" s="9" t="inlineStr">
        <is>
          <t>Seleção pergunta a pergunta ao montar a bateria</t>
        </is>
      </c>
      <c r="C69" s="9" t="inlineStr">
        <is>
          <t>Escolher pergunta por pergunta, com o ajuste correspondente na normalização (mín/máx teóricos mudam).</t>
        </is>
      </c>
      <c r="D69" s="9" t="inlineStr">
        <is>
          <t>Testes</t>
        </is>
      </c>
      <c r="E69" s="9" t="inlineStr">
        <is>
          <t>Planejado</t>
        </is>
      </c>
      <c r="F69" s="9" t="n">
        <v>68</v>
      </c>
      <c r="G69" s="9" t="inlineStr">
        <is>
          <t>Claude</t>
        </is>
      </c>
      <c r="H69" s="9" t="inlineStr">
        <is>
          <t>CLAUDE.md § Estado atual e próximos passos</t>
        </is>
      </c>
      <c r="I69" s="9" t="inlineStr">
        <is>
          <t>Mexe na normalização do resultado, então só com tempo e calma.
[CONGELADA em 03/08 por decisão do Matheus: melhorias e conferência de testes só entram quando ele disser que quer mexer nos testes. Não propor, não incluir em leva, não sugerir como próxima — até ele abrir a fase.]</t>
        </is>
      </c>
    </row>
    <row r="70">
      <c r="A70" s="9" t="n">
        <v>69</v>
      </c>
      <c r="B70" s="9" t="inlineStr">
        <is>
          <t>Sem testes automatizados; lint só acusa formatação</t>
        </is>
      </c>
      <c r="C70" s="9" t="inlineStr">
        <is>
          <t>~1691 erros, todos prettier/prettier, e o format gera diff barulhento que atrapalha o sync do Lovable. Nenhum vitest/jest configurado.</t>
        </is>
      </c>
      <c r="D70" s="9" t="inlineStr">
        <is>
          <t>Infra</t>
        </is>
      </c>
      <c r="E70" s="9" t="inlineStr">
        <is>
          <t>Planejado</t>
        </is>
      </c>
      <c r="F70" s="9" t="n">
        <v>69</v>
      </c>
      <c r="G70" s="9" t="inlineStr">
        <is>
          <t>Claude</t>
        </is>
      </c>
      <c r="H70" s="9" t="inlineStr">
        <is>
          <t>run-local-e-supabase-env.md § Lint/testes</t>
        </is>
      </c>
      <c r="I70" s="9" t="inlineStr">
        <is>
          <t>Rede de proteção que ninguém vê, mas que evita repetir bugs já corrigidos.</t>
        </is>
      </c>
    </row>
    <row r="71">
      <c r="A71" s="9" t="n">
        <v>70</v>
      </c>
      <c r="B71" s="9" t="inlineStr">
        <is>
          <t>Avaliar gitignorar o .env commitado</t>
        </is>
      </c>
      <c r="C71" s="9" t="inlineStr">
        <is>
          <t>O .env está rastreado (só valores públicos); antes de remover, confirmar se o build do Lovable depende dele para as VITE_ vars.</t>
        </is>
      </c>
      <c r="D71" s="9" t="inlineStr">
        <is>
          <t>Infra</t>
        </is>
      </c>
      <c r="E71" s="9" t="inlineStr">
        <is>
          <t>Planejado</t>
        </is>
      </c>
      <c r="F71" s="9" t="n">
        <v>70</v>
      </c>
      <c r="G71" s="9" t="inlineStr">
        <is>
          <t>Claude</t>
        </is>
      </c>
      <c r="H71" s="9" t="inlineStr">
        <is>
          <t>run-local-e-supabase-env.md § .env no git</t>
        </is>
      </c>
      <c r="I71" s="9" t="inlineStr">
        <is>
          <t>Só valores públicos hoje; antes de tirar preciso confirmar que o build do Lovable não depende dele.</t>
        </is>
      </c>
    </row>
    <row r="72">
      <c r="A72" s="9" t="n">
        <v>71</v>
      </c>
      <c r="B72" s="9" t="inlineStr">
        <is>
          <t>Comparar aplicações de reteste (gráfico de evolução)</t>
        </is>
      </c>
      <c r="C72" s="9" t="inlineStr">
        <is>
          <t>O encadeamento das respostas já existe (attempt + previous_response_id); falta a tela lado a lado.</t>
        </is>
      </c>
      <c r="D72" s="9" t="inlineStr">
        <is>
          <t>Relatórios</t>
        </is>
      </c>
      <c r="E72" s="9" t="inlineStr">
        <is>
          <t>Planejado</t>
        </is>
      </c>
      <c r="F72" s="9" t="n">
        <v>71</v>
      </c>
      <c r="G72" s="9" t="inlineStr">
        <is>
          <t>Depende de dados</t>
        </is>
      </c>
      <c r="H72" s="9" t="inlineStr">
        <is>
          <t>estado-atual-e-fila.md item 12 · roadmap-proximas-features.md item 4</t>
        </is>
      </c>
      <c r="I72" s="9" t="inlineStr">
        <is>
          <t>Só tem graça quando existir gente com segunda aplicação na base.
[CONGELADA em 03/08 por decisão do Matheus: melhorias e conferência de testes só entram quando ele disser que quer mexer nos testes. Não propor, não incluir em leva, não sugerir como próxima — até ele abrir a fase.]</t>
        </is>
      </c>
    </row>
    <row r="73">
      <c r="A73" s="9" t="n">
        <v>72</v>
      </c>
      <c r="B73" s="9" t="inlineStr">
        <is>
          <t>Alpha de Cronbach na tela de Estatísticas</t>
        </is>
      </c>
      <c r="C73" s="9" t="inlineStr">
        <is>
          <t>Calcular e exibir a confiabilidade interna dos testes quando houver amostra suficiente.</t>
        </is>
      </c>
      <c r="D73" s="9" t="inlineStr">
        <is>
          <t>Relatórios</t>
        </is>
      </c>
      <c r="E73" s="9" t="inlineStr">
        <is>
          <t>Planejado</t>
        </is>
      </c>
      <c r="F73" s="9" t="n">
        <v>72</v>
      </c>
      <c r="G73" s="9" t="inlineStr">
        <is>
          <t>Depende de dados</t>
        </is>
      </c>
      <c r="H73" s="9" t="inlineStr">
        <is>
          <t>CLAUDE.md § Estado atual e próximos passos</t>
        </is>
      </c>
      <c r="I73" s="9" t="inlineStr">
        <is>
          <t>Sem amostra suficiente o número mente mais do que informa.
[CONGELADA em 03/08 por decisão do Matheus: melhorias e conferência de testes só entram quando ele disser que quer mexer nos testes. Não propor, não incluir em leva, não sugerir como próxima — até ele abrir a fase.]</t>
        </is>
      </c>
    </row>
    <row r="74">
      <c r="A74" s="9" t="n">
        <v>73</v>
      </c>
      <c r="B74" s="9" t="inlineStr">
        <is>
          <t>Evento recorrente fica fora por enquanto</t>
        </is>
      </c>
      <c r="C74" s="9" t="inlineStr">
        <is>
          <t>A necessidade de evento toda segunda pode surgir, mas recorrência é uma caixa de complexidade própria.</t>
        </is>
      </c>
      <c r="D74" s="9" t="inlineStr">
        <is>
          <t>Agenda</t>
        </is>
      </c>
      <c r="E74" s="9" t="inlineStr">
        <is>
          <t>Planejado</t>
        </is>
      </c>
      <c r="F74" s="9" t="n">
        <v>73</v>
      </c>
      <c r="G74" s="9" t="inlineStr">
        <is>
          <t>Claude</t>
        </is>
      </c>
      <c r="H74" s="9" t="inlineStr">
        <is>
          <t>docs/plano-menu-gestao.md § Etapa 3, Adequação provável</t>
        </is>
      </c>
      <c r="I74" s="9" t="inlineStr">
        <is>
          <t>Já ficou combinado adiar; recorrência é uma caixa de complexidade própria.</t>
        </is>
      </c>
    </row>
    <row r="75">
      <c r="A75" s="9" t="n">
        <v>74</v>
      </c>
      <c r="B75" s="9" t="inlineStr">
        <is>
          <t>Decisão: estrutura antes do visual</t>
        </is>
      </c>
      <c r="C75" s="9" t="inlineStr">
        <is>
          <t>Ele confirmou a ordem de execução: os itens estruturais A e B vêm antes do trabalho visual.</t>
        </is>
      </c>
      <c r="D75" s="9" t="inlineStr">
        <is>
          <t>Plataforma</t>
        </is>
      </c>
      <c r="E75" s="9" t="inlineStr">
        <is>
          <t>Planejado</t>
        </is>
      </c>
      <c r="F75" s="9" t="n">
        <v>74</v>
      </c>
      <c r="G75" s="9" t="inlineStr">
        <is>
          <t>Matheus</t>
        </is>
      </c>
      <c r="H75" s="9" t="inlineStr">
        <is>
          <t>docs/plano-demandas-30-07.md § Decisões, item 4</t>
        </is>
      </c>
      <c r="I75" s="9" t="inlineStr">
        <is>
          <t>Decisão fechada que manda na ordem desta lista inteira.</t>
        </is>
      </c>
    </row>
    <row r="76">
      <c r="A76" s="9" t="n">
        <v>75</v>
      </c>
      <c r="B76" s="9" t="inlineStr">
        <is>
          <t>Decisão: publicar resultado na comunidade — SIM</t>
        </is>
      </c>
      <c r="C76" s="9" t="inlineStr">
        <is>
          <t>Ele inverteu a decisão de 28/07 e autorizou, ciente de que publicar é irreversível na prática.</t>
        </is>
      </c>
      <c r="D76" s="9" t="inlineStr">
        <is>
          <t>Comunidade</t>
        </is>
      </c>
      <c r="E76" s="9" t="inlineStr">
        <is>
          <t>Planejado</t>
        </is>
      </c>
      <c r="F76" s="9" t="n">
        <v>75</v>
      </c>
      <c r="G76" s="9" t="inlineStr">
        <is>
          <t>Matheus</t>
        </is>
      </c>
      <c r="H76" s="9" t="inlineStr">
        <is>
          <t>docs/plano-demandas-30-07.md § Decisões, item 1</t>
        </is>
      </c>
      <c r="I76" s="9" t="inlineStr">
        <is>
          <t>Ele inverteu a decisão de 28/07 e autorizou, ciente de que é irreversível.</t>
        </is>
      </c>
    </row>
    <row r="77">
      <c r="A77" s="9" t="n">
        <v>76</v>
      </c>
      <c r="B77" s="9" t="inlineStr">
        <is>
          <t>Decisão: enquete com voto identificado</t>
        </is>
      </c>
      <c r="C77" s="9" t="inlineStr">
        <is>
          <t>Contra a recomendação de voto anônimo; ele decidiu sabendo do risco de constrangimento em grupo de empresa.</t>
        </is>
      </c>
      <c r="D77" s="9" t="inlineStr">
        <is>
          <t>Comunidade</t>
        </is>
      </c>
      <c r="E77" s="9" t="inlineStr">
        <is>
          <t>Planejado</t>
        </is>
      </c>
      <c r="F77" s="9" t="n">
        <v>76</v>
      </c>
      <c r="G77" s="9" t="inlineStr">
        <is>
          <t>Matheus</t>
        </is>
      </c>
      <c r="H77" s="9" t="inlineStr">
        <is>
          <t>docs/plano-demandas-30-07.md § Decisões, item 3</t>
        </is>
      </c>
      <c r="I77" s="9" t="inlineStr">
        <is>
          <t>Decisão dele contra a recomendação de voto anônimo, já ciente do risco.</t>
        </is>
      </c>
    </row>
    <row r="78">
      <c r="A78" s="9" t="n">
        <v>77</v>
      </c>
      <c r="B78" s="9" t="inlineStr">
        <is>
          <t>Decisão: ranking visível para o grupo todo</t>
        </is>
      </c>
      <c r="C78" s="9" t="inlineStr">
        <is>
          <t>O ranking é público dentro do grupo e vira menu do painel do aluno (o plano recomendava ranking opcional).</t>
        </is>
      </c>
      <c r="D78" s="9" t="inlineStr">
        <is>
          <t>Academy</t>
        </is>
      </c>
      <c r="E78" s="9" t="inlineStr">
        <is>
          <t>Concluído</t>
        </is>
      </c>
      <c r="F78" s="9" t="n">
        <v>77</v>
      </c>
      <c r="G78" s="9" t="inlineStr">
        <is>
          <t>Matheus</t>
        </is>
      </c>
      <c r="H78" s="9" t="inlineStr">
        <is>
          <t>docs/plano-area-do-aluno.md § Decisões, item 3</t>
        </is>
      </c>
      <c r="I78" s="9" t="inlineStr">
        <is>
          <t>Varredura completa do Claude Code, 03/08 (11 áreas, 237 demandas), cruzada com a varredura independente do chat. Ranking visível para o grupo todo: travado na policy do banco.</t>
        </is>
      </c>
    </row>
    <row r="79">
      <c r="A79" s="9" t="n">
        <v>78</v>
      </c>
      <c r="B79" s="9" t="inlineStr">
        <is>
          <t>Decisão: responder teste não pontua</t>
        </is>
      </c>
      <c r="C79" s="9" t="inlineStr">
        <is>
          <t>Pontos não ligados aos testes, para não pagar a pessoa por clicar rápido.</t>
        </is>
      </c>
      <c r="D79" s="9" t="inlineStr">
        <is>
          <t>Academy</t>
        </is>
      </c>
      <c r="E79" s="9" t="inlineStr">
        <is>
          <t>Concluído</t>
        </is>
      </c>
      <c r="F79" s="9" t="n">
        <v>78</v>
      </c>
      <c r="G79" s="9" t="inlineStr">
        <is>
          <t>Matheus</t>
        </is>
      </c>
      <c r="H79" s="9" t="inlineStr">
        <is>
          <t>docs/plano-area-do-aluno.md § Decisões, item 4 · fila-area-do-aluno.md linhas 35-37</t>
        </is>
      </c>
      <c r="I79" s="9" t="inlineStr">
        <is>
          <t>Varredura completa do Claude Code, 03/08 (11 áreas, 237 demandas), cruzada com a varredura independente do chat. Responder teste não pontua: travado no constraint do banco, impossível de burlar.</t>
        </is>
      </c>
    </row>
    <row r="80">
      <c r="A80" s="9" t="n">
        <v>79</v>
      </c>
      <c r="B80" s="9" t="inlineStr">
        <is>
          <t>Decisão: responder aos poucos exige entrar no painel</t>
        </is>
      </c>
      <c r="C80" s="9" t="inlineStr">
        <is>
          <t>Guardar respostas parciais e ver testes liberados só acontece dentro do painel do aluno.</t>
        </is>
      </c>
      <c r="D80" s="9" t="inlineStr">
        <is>
          <t>Academy</t>
        </is>
      </c>
      <c r="E80" s="9" t="inlineStr">
        <is>
          <t>Planejado</t>
        </is>
      </c>
      <c r="F80" s="9" t="n">
        <v>79</v>
      </c>
      <c r="G80" s="9" t="inlineStr">
        <is>
          <t>Matheus</t>
        </is>
      </c>
      <c r="H80" s="9" t="inlineStr">
        <is>
          <t>docs/plano-area-do-aluno.md § Decisões, item 1</t>
        </is>
      </c>
      <c r="I80" s="9" t="inlineStr">
        <is>
          <t>Resposta parcial só dentro do painel do aluno; já combinado.</t>
        </is>
      </c>
    </row>
    <row r="81">
      <c r="A81" s="9" t="n">
        <v>80</v>
      </c>
      <c r="B81" s="9" t="inlineStr">
        <is>
          <t>Decisão: responder sem conta continua permitido</t>
        </is>
      </c>
      <c r="C81" s="9" t="inlineStr">
        <is>
          <t>O link não passa a exigir cadastro; dá para responder a bateria inteira sem conta e ver o relatório.</t>
        </is>
      </c>
      <c r="D81" s="9" t="inlineStr">
        <is>
          <t>Testes</t>
        </is>
      </c>
      <c r="E81" s="9" t="inlineStr">
        <is>
          <t>Concluído</t>
        </is>
      </c>
      <c r="F81" s="9" t="n">
        <v>80</v>
      </c>
      <c r="G81" s="9" t="inlineStr">
        <is>
          <t>Matheus</t>
        </is>
      </c>
      <c r="H81" s="9" t="inlineStr">
        <is>
          <t>docs/plano-area-do-aluno.md § Decisões, item 1 · fila-area-do-aluno.md linhas 31-32</t>
        </is>
      </c>
      <c r="I81" s="9" t="inlineStr">
        <is>
          <t>Varredura completa do Claude Code, 03/08 (11 áreas, 237 demandas), cruzada com a varredura independente do chat. Responder sem conta continua permitido: já é a realidade do código.</t>
        </is>
      </c>
    </row>
    <row r="82">
      <c r="A82" s="9" t="n">
        <v>81</v>
      </c>
      <c r="B82" s="9" t="inlineStr">
        <is>
          <t>Decisão: QR rotativo com janela de validade dele</t>
        </is>
      </c>
      <c r="C82" s="9" t="inlineStr">
        <is>
          <t>Duas travas somadas: o código muda sozinho E só vale dentro do horário que ele define.</t>
        </is>
      </c>
      <c r="D82" s="9" t="inlineStr">
        <is>
          <t>Classroom</t>
        </is>
      </c>
      <c r="E82" s="9" t="inlineStr">
        <is>
          <t>Concluído</t>
        </is>
      </c>
      <c r="F82" s="9" t="n">
        <v>81</v>
      </c>
      <c r="G82" s="9" t="inlineStr">
        <is>
          <t>Matheus</t>
        </is>
      </c>
      <c r="H82" s="9" t="inlineStr">
        <is>
          <t>docs/analise-classroom.md § Decisões do Matheus, item 1</t>
        </is>
      </c>
      <c r="I82" s="9" t="inlineStr">
        <is>
          <t>Varredura completa do Claude Code, 03/08 (11 áreas, 237 demandas), cruzada com a varredura independente do chat. QR rotativo com janela de validade: decisão já operacionalizada.</t>
        </is>
      </c>
    </row>
    <row r="83">
      <c r="A83" s="9" t="n">
        <v>82</v>
      </c>
      <c r="B83" s="9" t="inlineStr">
        <is>
          <t>Decisão: presença manual pelo professor entra</t>
        </is>
      </c>
      <c r="C83" s="9" t="inlineStr">
        <is>
          <t>Cobre aluno sem senha, celular sem bateria, sem internet ou sem smartphone.</t>
        </is>
      </c>
      <c r="D83" s="9" t="inlineStr">
        <is>
          <t>Classroom</t>
        </is>
      </c>
      <c r="E83" s="9" t="inlineStr">
        <is>
          <t>Concluído</t>
        </is>
      </c>
      <c r="F83" s="9" t="n">
        <v>82</v>
      </c>
      <c r="G83" s="9" t="inlineStr">
        <is>
          <t>Matheus</t>
        </is>
      </c>
      <c r="H83" s="9" t="inlineStr">
        <is>
          <t>docs/analise-classroom.md § Decisões do Matheus, item 2</t>
        </is>
      </c>
      <c r="I83" s="9" t="inlineStr">
        <is>
          <t>Varredura completa do Claude Code, 03/08 (11 áreas, 237 demandas), cruzada com a varredura independente do chat. Presença manual pelo professor: decisão já operacionalizada.</t>
        </is>
      </c>
    </row>
    <row r="84">
      <c r="A84" s="9" t="n">
        <v>83</v>
      </c>
      <c r="B84" s="9" t="inlineStr">
        <is>
          <t>Decisão: o check-in abre a câmera do telefone</t>
        </is>
      </c>
      <c r="C84" s="9" t="inlineStr">
        <is>
          <t>Não abre leitor de QR dentro do app, porque o Safari do iPhone não tem leitor nativo no navegador.</t>
        </is>
      </c>
      <c r="D84" s="9" t="inlineStr">
        <is>
          <t>Classroom</t>
        </is>
      </c>
      <c r="E84" s="9" t="inlineStr">
        <is>
          <t>Concluído</t>
        </is>
      </c>
      <c r="F84" s="9" t="n">
        <v>83</v>
      </c>
      <c r="G84" s="9" t="inlineStr">
        <is>
          <t>Matheus</t>
        </is>
      </c>
      <c r="H84" s="9" t="inlineStr">
        <is>
          <t>docs/analise-classroom.md § Decisões do Matheus, item 3</t>
        </is>
      </c>
      <c r="I84" s="9" t="inlineStr">
        <is>
          <t>Varredura completa do Claude Code, 03/08 (11 áreas, 237 demandas), cruzada com a varredura independente do chat. Check-in abre a câmera: decisão já operacionalizada.</t>
        </is>
      </c>
    </row>
    <row r="85">
      <c r="A85" s="9" t="n">
        <v>84</v>
      </c>
      <c r="B85" s="9" t="inlineStr">
        <is>
          <t>Decisão: aluno sem senha usa o primeiro acesso</t>
        </is>
      </c>
      <c r="C85" s="9" t="inlineStr">
        <is>
          <t>Quem nunca criou senha cria pelo fluxo com validação por e-mail; a presença manual cobre o imprevisto do dia.</t>
        </is>
      </c>
      <c r="D85" s="9" t="inlineStr">
        <is>
          <t>Classroom</t>
        </is>
      </c>
      <c r="E85" s="9" t="inlineStr">
        <is>
          <t>Concluído</t>
        </is>
      </c>
      <c r="F85" s="9" t="n">
        <v>84</v>
      </c>
      <c r="G85" s="9" t="inlineStr">
        <is>
          <t>Matheus</t>
        </is>
      </c>
      <c r="H85" s="9" t="inlineStr">
        <is>
          <t>docs/analise-classroom.md § Decisões do Matheus, item 6</t>
        </is>
      </c>
      <c r="I85" s="9" t="inlineStr">
        <is>
          <t>Varredura completa do Claude Code, 03/08 (11 áreas, 237 demandas), cruzada com a varredura independente do chat. Aluno sem senha usa o primeiro acesso: decisão já operacionalizada.</t>
        </is>
      </c>
    </row>
    <row r="86">
      <c r="A86" s="9" t="n">
        <v>85</v>
      </c>
      <c r="B86" s="9" t="inlineStr">
        <is>
          <t>Decisão: resultado de teste fora da lista de presença</t>
        </is>
      </c>
      <c r="C86" s="9" t="inlineStr">
        <is>
          <t>A lista é documento que circula (RH, cliente, arquivo), então perfil comportamental não entra nela.</t>
        </is>
      </c>
      <c r="D86" s="9" t="inlineStr">
        <is>
          <t>Classroom</t>
        </is>
      </c>
      <c r="E86" s="9" t="inlineStr">
        <is>
          <t>Concluído</t>
        </is>
      </c>
      <c r="F86" s="9" t="n">
        <v>85</v>
      </c>
      <c r="G86" s="9" t="inlineStr">
        <is>
          <t>Matheus</t>
        </is>
      </c>
      <c r="H86" s="9" t="inlineStr">
        <is>
          <t>docs/analise-classroom.md § A tabela de presença — definitiva</t>
        </is>
      </c>
      <c r="I86" s="9" t="inlineStr">
        <is>
          <t>Varredura completa do Claude Code, 03/08 (11 áreas, 237 demandas), cruzada com a varredura independente do chat. Resultado de teste fora da lista de presença: decisão já operacionalizada.</t>
        </is>
      </c>
    </row>
    <row r="87">
      <c r="A87" s="9" t="n">
        <v>86</v>
      </c>
      <c r="B87" s="9" t="inlineStr">
        <is>
          <t>Decisão: Classroom com estrutura própria</t>
        </is>
      </c>
      <c r="C87" s="9" t="inlineStr">
        <is>
          <t>Não reaproveita as tabelas da Academy, sem chance de curso presencial vazar na lista de trilhas online.</t>
        </is>
      </c>
      <c r="D87" s="9" t="inlineStr">
        <is>
          <t>Classroom</t>
        </is>
      </c>
      <c r="E87" s="9" t="inlineStr">
        <is>
          <t>Concluído</t>
        </is>
      </c>
      <c r="F87" s="9" t="n">
        <v>86</v>
      </c>
      <c r="G87" s="9" t="inlineStr">
        <is>
          <t>Matheus</t>
        </is>
      </c>
      <c r="H87" s="9" t="inlineStr">
        <is>
          <t>docs/analise-classroom.md § Decisões do Matheus, item 4</t>
        </is>
      </c>
      <c r="I87" s="9" t="inlineStr">
        <is>
          <t>Varredura completa do Claude Code, 03/08 (11 áreas, 237 demandas), cruzada com a varredura independente do chat. Classroom com estrutura própria: decisão já operacionalizada.</t>
        </is>
      </c>
    </row>
    <row r="88">
      <c r="A88" s="9" t="n">
        <v>87</v>
      </c>
      <c r="B88" s="9" t="inlineStr">
        <is>
          <t>Decisão: Kanban é do master e dos mentores</t>
        </is>
      </c>
      <c r="C88" s="9" t="inlineStr">
        <is>
          <t>Ele incluiu os mentores (o plano propunha só o master) e manteve o aluno fora, porque o quadro mostra a situação dos colegas.</t>
        </is>
      </c>
      <c r="D88" s="9" t="inlineStr">
        <is>
          <t>Agenda</t>
        </is>
      </c>
      <c r="E88" s="9" t="inlineStr">
        <is>
          <t>Concluído</t>
        </is>
      </c>
      <c r="F88" s="9" t="n">
        <v>87</v>
      </c>
      <c r="G88" s="9" t="inlineStr">
        <is>
          <t>Matheus</t>
        </is>
      </c>
      <c r="H88" s="9" t="inlineStr">
        <is>
          <t>docs/plano-menu-gestao.md § Três decisões, item 3 · backlog-menu-gestao.md item 3</t>
        </is>
      </c>
      <c r="I88" s="9" t="inlineStr">
        <is>
          <t>Varredura completa do Claude Code, 03/08 (11 áreas, 237 demandas), cruzada com a varredura independente do chat. ÓRFÃ: o objeto desta demanda (Kanban de devolutivas) foi apagado em 31/07, quando o menu Mentorias substituiu Devolutivas. Não há mais o que fazer nem o que decidir. Registro mantido para o histórico não mentir sobre o que já foi planejado.</t>
        </is>
      </c>
    </row>
    <row r="89">
      <c r="A89" s="9" t="n">
        <v>88</v>
      </c>
      <c r="B89" s="9" t="inlineStr">
        <is>
          <t>Decisão: Google Calendar em mão única</t>
        </is>
      </c>
      <c r="C89" s="9" t="inlineStr">
        <is>
          <t>O que é marcado na plataforma vai para o Google e nada volta, para evitar conflito de edição dos dois lados.</t>
        </is>
      </c>
      <c r="D89" s="9" t="inlineStr">
        <is>
          <t>Agenda</t>
        </is>
      </c>
      <c r="E89" s="9" t="inlineStr">
        <is>
          <t>Concluído</t>
        </is>
      </c>
      <c r="F89" s="9" t="n">
        <v>88</v>
      </c>
      <c r="G89" s="9" t="inlineStr">
        <is>
          <t>Matheus</t>
        </is>
      </c>
      <c r="H89" s="9" t="inlineStr">
        <is>
          <t>docs/plano-menu-gestao.md § Três decisões, item 1 · backlog-menu-gestao.md item 1</t>
        </is>
      </c>
      <c r="I89" s="9" t="inlineStr">
        <is>
          <t>Varredura completa do Claude Code, 03/08 (11 áreas, 237 demandas), cruzada com a varredura independente do chat. Google Calendar em mão única já implementado — não é só decisão registrada.</t>
        </is>
      </c>
    </row>
    <row r="90">
      <c r="A90" s="9" t="n">
        <v>89</v>
      </c>
      <c r="B90" s="9" t="inlineStr">
        <is>
          <t>Decisão: só o master conecta o Google, por enquanto</t>
        </is>
      </c>
      <c r="C90" s="9" t="inlineStr">
        <is>
          <t>Começar com uma conta só, evitando a verificação do Google exigida para escopo sensível aberto.</t>
        </is>
      </c>
      <c r="D90" s="9" t="inlineStr">
        <is>
          <t>Agenda</t>
        </is>
      </c>
      <c r="E90" s="9" t="inlineStr">
        <is>
          <t>Concluído</t>
        </is>
      </c>
      <c r="F90" s="9" t="n">
        <v>89</v>
      </c>
      <c r="G90" s="9" t="inlineStr">
        <is>
          <t>Matheus</t>
        </is>
      </c>
      <c r="H90" s="9" t="inlineStr">
        <is>
          <t>docs/plano-menu-gestao.md § Três decisões, item 2 · backlog-menu-gestao.md item 2</t>
        </is>
      </c>
      <c r="I90" s="9" t="inlineStr">
        <is>
          <t>Varredura completa do Claude Code, 03/08 (11 áreas, 237 demandas), cruzada com a varredura independente do chat. Só o master conecta o Google: travado no código por exigirDono (google.functions.ts:15, :42, :52).</t>
        </is>
      </c>
    </row>
    <row r="91">
      <c r="A91" s="9" t="n">
        <v>90</v>
      </c>
      <c r="B91" s="9" t="inlineStr">
        <is>
          <t>Decisão: colaborador continua como está</t>
        </is>
      </c>
      <c r="C91" s="9" t="inlineStr">
        <is>
          <t>Colaborador não é aluno; é alguém da operação com permissões por funcionalidade.</t>
        </is>
      </c>
      <c r="D91" s="9" t="inlineStr">
        <is>
          <t>Infra</t>
        </is>
      </c>
      <c r="E91" s="9" t="inlineStr">
        <is>
          <t>Concluído</t>
        </is>
      </c>
      <c r="F91" s="9" t="n">
        <v>90</v>
      </c>
      <c r="G91" s="9" t="inlineStr">
        <is>
          <t>Matheus</t>
        </is>
      </c>
      <c r="H91" s="9" t="inlineStr">
        <is>
          <t>docs/plano-area-do-aluno.md § Anexo 3, item 5</t>
        </is>
      </c>
      <c r="I91" s="9" t="inlineStr">
        <is>
          <t>Varredura completa do Claude Code, 03/08 (11 áreas, 237 demandas), cruzada com a varredura independente do chat. Decisão já implementada: código e banco batem com o modelo de colaborador de hoje.</t>
        </is>
      </c>
    </row>
    <row r="92">
      <c r="A92" s="9" t="n">
        <v>91</v>
      </c>
      <c r="B92" s="9" t="inlineStr">
        <is>
          <t>Decisão: comunidade começou sem resultado de teste</t>
        </is>
      </c>
      <c r="C92" s="9" t="inlineStr">
        <is>
          <t>Decisão de 28/07: o feed saiu só com foto, texto, PDF e link, sem perfil comportamental (depois invertida em 29/07).</t>
        </is>
      </c>
      <c r="D92" s="9" t="inlineStr">
        <is>
          <t>Comunidade</t>
        </is>
      </c>
      <c r="E92" s="9" t="inlineStr">
        <is>
          <t>Planejado</t>
        </is>
      </c>
      <c r="F92" s="9" t="n">
        <v>91</v>
      </c>
      <c r="G92" s="9" t="inlineStr">
        <is>
          <t>Matheus</t>
        </is>
      </c>
      <c r="H92" s="9" t="inlineStr">
        <is>
          <t>docs/plano-area-do-aluno.md § Decisões, item 2</t>
        </is>
      </c>
      <c r="I92" s="9" t="inlineStr">
        <is>
          <t>Registro histórico de 28/07, já invertido pela decisão de 29/07.</t>
        </is>
      </c>
    </row>
    <row r="93">
      <c r="A93" s="9" t="n">
        <v>92</v>
      </c>
      <c r="B93" s="9" t="inlineStr">
        <is>
          <t>Agenda: visão de semana com grade de horas</t>
        </is>
      </c>
      <c r="C93" s="9" t="inlineStr">
        <is>
          <t>A agenda tem só a visão de MÊS. Falta a de SEMANA, que fazia parte do pedido original. DECISÃO DO MATHEUS (05/08): grade com horas, no formato do Google Calendar — sete colunas, horas na lateral, compromisso posicionado na altura do horário e com a altura da duração. É o que mostra os BURACOS entre atendimentos, que é o valor da visão de semana. TEXTO ANTIGO CORRIGIDO: a demanda falava em 'devolutivas.scheduled_at' e 'clicar abre a devolutiva' — as Devolutivas foram aposentadas em 31/07. Hoje a agenda mostra sessões de mentoria e eventos (inclusive os que nascem de aulas do Classroom), e clicar abre um diálogo com os detalhes. O SERVIDOR NÃO MUDA: agendaDoMes já recebe intervalo (de, ate) livre — quem fixa o mês é a tela.</t>
        </is>
      </c>
      <c r="D93" s="9" t="inlineStr">
        <is>
          <t>Agenda</t>
        </is>
      </c>
      <c r="E93" s="9" t="inlineStr">
        <is>
          <t>Concluído</t>
        </is>
      </c>
      <c r="F93" s="9" t="n">
        <v>92</v>
      </c>
      <c r="G93" s="9" t="inlineStr">
        <is>
          <t>Claude</t>
        </is>
      </c>
      <c r="H93" s="9" t="inlineStr">
        <is>
          <t>docs/plano-menu-gestao.md § Etapa 2 · backlog-menu-gestao.md § 1 · git log 562907c</t>
        </is>
      </c>
      <c r="I93" s="9" t="inlineStr">
        <is>
          <t>Commit b2ad5ae, publicado e confirmado no bundle em produção. Único acréscimo no servidor: agendaDoMes passou a expor termina_em também para mentoria (só evento tinha) — aditivo, não mexeu no cálculo de intervalo livre (de/ate), que era o que a demanda pedia para conferir antes de mexer, e sem isso não dava para fazer a altura proporcional à duração (exigida no checklist). Checklist provado em produção, conta real: (1) sessão real de Fulado de Tal (18:12, 2h) na altura exata — top=537.6px, height=96px, batendo com a conta (18.2h-7h)×48px; (2) sessão de 2h com o dobro da altura de uma de 1h; (3) TESTE DE SOBREPOSIÇÃO: evento de teste no mesmo horário da sessão real — os dois lado a lado, 50%/50%, não empilhados; (4) 4 semanas para frente e 4 para trás com ‹›, cada passo exatamente 7 dias, Hoje voltou certo; (5) TESTE QUE DECIDE: /aluno/agenda?ver=&lt;outra pessoa&gt; na visão de semana, na MESMA semana da sessão real do Fulado de Tal — apareceu vazio, sem vazamento (mesmo ponto que a #243 já tinha furado uma vez); (6) no celular vira lista de 7 dias sem grade, confirmado por screenshot, sem corte real (um número de largura de tela ficou preso em 723px nesta sessão de teste, mas reproduziu idêntico numa página que eu nem toquei — é o ambiente de teste, não o código); (7) troquei para semana, recarreguei a página inteira — continuou em semana (chave agenda-visao no localStorage); (8) a visão de mês continua exatamente igual. Dado de teste (eventos.id dcaad136-5da4-44b8-9163-fb88e6fc6869, "Teste #92 — sobreposição") apagado e conferido vazio depois do teste.</t>
        </is>
      </c>
    </row>
    <row r="94">
      <c r="A94" s="9" t="n">
        <v>93</v>
      </c>
      <c r="B94" s="9" t="inlineStr">
        <is>
          <t>Anotações do professor fora do alcance do aluno</t>
        </is>
      </c>
      <c r="C94" s="9" t="inlineStr">
        <is>
          <t>Saíram de treinamento_aulas (cuja RLS entrega a linha inteira) para treinamento_anotacoes, onde o aluno não tem policy.</t>
        </is>
      </c>
      <c r="D94" s="9" t="inlineStr">
        <is>
          <t>Classroom</t>
        </is>
      </c>
      <c r="E94" s="9" t="inlineStr">
        <is>
          <t>Concluído</t>
        </is>
      </c>
      <c r="F94" s="9" t="n">
        <v>93</v>
      </c>
      <c r="G94" s="9" t="inlineStr">
        <is>
          <t>Claude</t>
        </is>
      </c>
      <c r="H94" s="9" t="inlineStr">
        <is>
          <t>estado-atual-e-fila.md § Privacidade resolvida na etapa 3 · git log f13e284</t>
        </is>
      </c>
      <c r="I94" s="9" t="inlineStr">
        <is>
          <t>Policy anot_rw passou a usar posso_dar_aula(): dono, mentor do grupo e colaborador. O aluno continua de fora.</t>
        </is>
      </c>
    </row>
    <row r="95">
      <c r="A95" s="9" t="n">
        <v>94</v>
      </c>
      <c r="B95" s="9" t="inlineStr">
        <is>
          <t>Aviso na véspera de quem ainda não tem senha</t>
        </is>
      </c>
      <c r="C95" s="9" t="inlineStr">
        <is>
          <t>A tela do professor avisa quais alunos do grupo ainda não criaram senha — é o que esvazia a fila na porta.</t>
        </is>
      </c>
      <c r="D95" s="9" t="inlineStr">
        <is>
          <t>Classroom</t>
        </is>
      </c>
      <c r="E95" s="9" t="inlineStr">
        <is>
          <t>Concluído</t>
        </is>
      </c>
      <c r="F95" s="9" t="n">
        <v>94</v>
      </c>
      <c r="G95" s="9" t="inlineStr">
        <is>
          <t>Claude</t>
        </is>
      </c>
      <c r="H95" s="9" t="inlineStr">
        <is>
          <t>docs/analise-classroom.md § O que a etapa 4 decidiu na prática, item 4</t>
        </is>
      </c>
      <c r="I95" s="9" t="inlineStr">
        <is>
          <t>avisos_da_vespera(), calculada na leitura do sino e não num cron — a notificação só tem efeito quando alguém abre a plataforma. Índice único parcial impede o F5 de duplicar.</t>
        </is>
      </c>
    </row>
    <row r="96">
      <c r="A96" s="9" t="n">
        <v>95</v>
      </c>
      <c r="B96" s="9" t="inlineStr">
        <is>
          <t>Cadastros reais e autenticação</t>
        </is>
      </c>
      <c r="C96" s="9" t="inlineStr">
        <is>
          <t>CRUD de pessoas, grupos e testes ligado ao banco, com login de verdade no lugar dos dados de exemplo.</t>
        </is>
      </c>
      <c r="D96" s="9" t="inlineStr">
        <is>
          <t>Infra</t>
        </is>
      </c>
      <c r="E96" s="9" t="inlineStr">
        <is>
          <t>Concluído</t>
        </is>
      </c>
      <c r="F96" s="9" t="n">
        <v>95</v>
      </c>
      <c r="G96" s="9" t="inlineStr">
        <is>
          <t>Claude</t>
        </is>
      </c>
      <c r="H96" s="9" t="inlineStr">
        <is>
          <t>git log 04d05ca</t>
        </is>
      </c>
      <c r="I96" s="9" t="inlineStr">
        <is>
          <t>list_instruments passou a ler a tabela instruments. A lista fixa de mock-data.ts foi apagada.</t>
        </is>
      </c>
    </row>
    <row r="97">
      <c r="A97" s="9" t="n">
        <v>96</v>
      </c>
      <c r="B97" s="9" t="inlineStr">
        <is>
          <t>Conteúdo interpretativo de Valores, Temperamentos e VAK</t>
        </is>
      </c>
      <c r="C97" s="9" t="inlineStr">
        <is>
          <t>94 blocos novos em report_content no padrão do Big Five; com tudo empatado o relatório escolhe a síntese 'equilibrado'.</t>
        </is>
      </c>
      <c r="D97" s="9" t="inlineStr">
        <is>
          <t>Conteúdo</t>
        </is>
      </c>
      <c r="E97" s="9" t="inlineStr">
        <is>
          <t>Concluído</t>
        </is>
      </c>
      <c r="F97" s="9" t="n">
        <v>96</v>
      </c>
      <c r="G97" s="9" t="inlineStr">
        <is>
          <t>Claude</t>
        </is>
      </c>
      <c r="H97" s="9" t="inlineStr">
        <is>
          <t>avaliacao-bateria-e-relatorios.md § Outros achados</t>
        </is>
      </c>
      <c r="I97" s="9" t="inlineStr">
        <is>
          <t>supabase/estado/conteudo.json guarda os 502 blocos de report_content e as 71 faixas, com --restaurar no script.</t>
        </is>
      </c>
    </row>
    <row r="98">
      <c r="A98" s="9" t="n">
        <v>97</v>
      </c>
      <c r="B98" s="9" t="inlineStr">
        <is>
          <t>APOSENTADA: 'Correção de ~31 bugs' — sem lista, sem como provar</t>
        </is>
      </c>
      <c r="C98" s="9" t="inlineStr">
        <is>
          <t>Rodada de correção de aproximadamente 31 bugs na plataforma.</t>
        </is>
      </c>
      <c r="D98" s="9" t="inlineStr">
        <is>
          <t>Plataforma</t>
        </is>
      </c>
      <c r="E98" s="9" t="inlineStr">
        <is>
          <t>Concluído</t>
        </is>
      </c>
      <c r="F98" s="9" t="n">
        <v>97</v>
      </c>
      <c r="G98" s="9" t="inlineStr">
        <is>
          <t>Claude</t>
        </is>
      </c>
      <c r="H98" s="9" t="inlineStr">
        <is>
          <t>CLAUDE.md § Estado atual e próximos passos</t>
        </is>
      </c>
      <c r="I98" s="9" t="inlineStr">
        <is>
          <t>APOSENTADA em 05/08, decisão do Matheus. Não descrevia um trabalho: descrevia a AUSÊNCIA de registro de um trabalho antigo. Ninguém sabe quais eram os 31 bugs, se todos saíram ou se algum voltou — logo, não havia como concluir nem provar. O que ela pedia (anotar o que ainda incomoda) virou o processo normal: em 05/08 o Matheus achou três problemas usando a plataforma (link de agendamento sem faixa de disponibilidade, grupo que não criava, colaborador que não entrava) e os três viraram demanda numerada na hora, com prova. O cartão morre porque a prática o substituiu.</t>
        </is>
      </c>
    </row>
    <row r="99">
      <c r="A99" s="9" t="n">
        <v>98</v>
      </c>
      <c r="B99" s="9" t="inlineStr">
        <is>
          <t>Equipe: mentor por grupo, colaborador por funcionalidade</t>
        </is>
      </c>
      <c r="C99" s="9" t="inlineStr">
        <is>
          <t>team_members + team_member_groups com can_download_reports, tudo ancorado em acting_account().</t>
        </is>
      </c>
      <c r="D99" s="9" t="inlineStr">
        <is>
          <t>Infra</t>
        </is>
      </c>
      <c r="E99" s="9" t="inlineStr">
        <is>
          <t>Concluído</t>
        </is>
      </c>
      <c r="F99" s="9" t="n">
        <v>98</v>
      </c>
      <c r="G99" s="9" t="inlineStr">
        <is>
          <t>Claude</t>
        </is>
      </c>
      <c r="H99" s="9" t="inlineStr">
        <is>
          <t>arquitetura-equipe-e-permissoes.md · fila-area-do-aluno.md tabela linha 21 · git log 0b81d22</t>
        </is>
      </c>
      <c r="I99" s="9" t="inlineStr">
        <is>
          <t>Provado com mentor convidado real atribuído só ao grupo A: não alcança pessoa, resposta, relatório nem devolutiva do grupo B, nem pela tela nem colando id na URL — RLS (tr_mentor_all, can_see_person) barra antes mesmo da checagem do servidor. No caminho, achado e corrigido: getPerson/getDashboardStats comparavam contra o uid de quem chamava em vez de acting_account(), fazendo o mentor não ver nem as próprias respostas de quem ele acompanha. Fechado no commit db0cd9e (31/07).</t>
        </is>
      </c>
    </row>
    <row r="100">
      <c r="A100" s="9" t="n">
        <v>99</v>
      </c>
      <c r="B100" s="9" t="inlineStr">
        <is>
          <t>Fotos de perfil (avatares)</t>
        </is>
      </c>
      <c r="C100" s="9" t="inlineStr">
        <is>
          <t>Bucket 'avatares' com leitura pública e escrita restrita à pasta do usuário; avatar para todos os papéis.</t>
        </is>
      </c>
      <c r="D100" s="9" t="inlineStr">
        <is>
          <t>Plataforma</t>
        </is>
      </c>
      <c r="E100" s="9" t="inlineStr">
        <is>
          <t>Concluído</t>
        </is>
      </c>
      <c r="F100" s="9" t="n">
        <v>99</v>
      </c>
      <c r="G100" s="9" t="inlineStr">
        <is>
          <t>Claude</t>
        </is>
      </c>
      <c r="H100" s="9" t="inlineStr">
        <is>
          <t>feature-tema-fotos-e-ver-como-aluno.md · git log 7b97f42</t>
        </is>
      </c>
      <c r="I100" s="9" t="inlineStr">
        <is>
          <t>Fechado junto com a biblioteca em c03134c. Bucket avatares virou privado; link assinado com 1 hora de validade — prazo maior de propósito, porque o avatar aparece em muitas listas ao mesmo tempo (ranking, comunidade, equipe) e quem pode ver a foto já é decidido por quem pode ver a pessoa. CONFERIDO POR FORA: bucket public=false; a chave pública não assina mais. Corrige a ressalva antiga ("o caminho deixou de ser adivinhável, mas o bucket segue público").</t>
        </is>
      </c>
    </row>
    <row r="101">
      <c r="A101" s="9" t="n">
        <v>100</v>
      </c>
      <c r="B101" s="9" t="inlineStr">
        <is>
          <t>Integração com o Google Calendar</t>
        </is>
      </c>
      <c r="C101" s="9" t="inlineStr">
        <is>
          <t>Botão 'Conectar meu Google Calendar' nas Configurações e sincronização silenciosa das devolutivas e eventos, sem nunca derrubar o agendamento interno.</t>
        </is>
      </c>
      <c r="D101" s="9" t="inlineStr">
        <is>
          <t>Agenda</t>
        </is>
      </c>
      <c r="E101" s="9" t="inlineStr">
        <is>
          <t>Concluído</t>
        </is>
      </c>
      <c r="F101" s="9" t="n">
        <v>100</v>
      </c>
      <c r="G101" s="9" t="inlineStr">
        <is>
          <t>Claude</t>
        </is>
      </c>
      <c r="H101" s="9" t="inlineStr">
        <is>
          <t>docs/plano-menu-gestao.md § Etapa 4 · docs/google-calendar-passo-a-passo.md · git log 08b0ade · git log a3141e</t>
        </is>
      </c>
      <c r="I101" s="9" t="inlineStr">
        <is>
          <t>Configurações mostra a última sincronia e um aviso vermelho com o erro do Google quando falhou. A função precisou de DROP antes do CREATE.</t>
        </is>
      </c>
    </row>
    <row r="102">
      <c r="A102" s="9" t="n">
        <v>101</v>
      </c>
      <c r="B102" s="9" t="inlineStr">
        <is>
          <t>Marcar e remarcar a data da devolutiva</t>
        </is>
      </c>
      <c r="C102" s="9" t="inlineStr">
        <is>
          <t>Corrige dois bugs: devolutiva criada sem data não tinha caminho de volta ao campo, e a coluna date aparecia um dia antes no Brasil.</t>
        </is>
      </c>
      <c r="D102" s="9" t="inlineStr">
        <is>
          <t>Agenda</t>
        </is>
      </c>
      <c r="E102" s="9" t="inlineStr">
        <is>
          <t>Concluído</t>
        </is>
      </c>
      <c r="F102" s="9" t="n">
        <v>101</v>
      </c>
      <c r="G102" s="9" t="inlineStr">
        <is>
          <t>Claude</t>
        </is>
      </c>
      <c r="H102" s="9" t="inlineStr">
        <is>
          <t>feature-devolutivas.md linhas 38-42 · git log 22ae517</t>
        </is>
      </c>
      <c r="I102" s="9" t="inlineStr">
        <is>
          <t>Varredura completa do Claude Code, 03/08 (11 áreas, 237 demandas), cruzada com a varredura independente do chat. ÓRFÃ: o objeto desta demanda (o botão de marcar/remarcar data da devolutiva) foi apagado em 31/07, quando o menu Mentorias substituiu Devolutivas. Não há mais o que fazer nem o que decidir. Registro mantido para o histórico não mentir sobre o que já foi planejado.</t>
        </is>
      </c>
    </row>
    <row r="103">
      <c r="A103" s="9" t="n">
        <v>102</v>
      </c>
      <c r="B103" s="9" t="inlineStr">
        <is>
          <t>Mentor afiliado: convite por e-mail e conta no link</t>
        </is>
      </c>
      <c r="C103" s="9" t="inlineStr">
        <is>
          <t>Criar e reenviar convite passam a mandar e-mail de verdade, e o link do convite abre a criação de senha e entra direto. Antes o token era gerado e ninguém era avisado.</t>
        </is>
      </c>
      <c r="D103" s="9" t="inlineStr">
        <is>
          <t>Infra</t>
        </is>
      </c>
      <c r="E103" s="9" t="inlineStr">
        <is>
          <t>Concluído</t>
        </is>
      </c>
      <c r="F103" s="9" t="n">
        <v>102</v>
      </c>
      <c r="G103" s="9" t="inlineStr">
        <is>
          <t>Claude</t>
        </is>
      </c>
      <c r="H103" s="9" t="inlineStr">
        <is>
          <t>docs/plano-area-do-aluno.md § Anexo 1 plano A · fila-area-do-aluno.md § Mentor afiliado · seguranca-primeiro-a</t>
        </is>
      </c>
      <c r="I103" s="9" t="inlineStr">
        <is>
          <t>A tela /mentores foi APOSENTADA (virou redirect para /pessoas): era o fluxo velho, que criava team_members sem person_id. O convite hoje é 'promover a mentor' na ficha da pessoa. FALTA: promover um parceiro de verdade e acompanhar até ele entrar — é o único jeito de provar que o e-mail de convite chega e o primeiro acesso funciona. FECHADA EM 05/08: a parte que faltava era 'provar que o e-mail de convite chega e o primeiro acesso funciona'. Aconteceu — o Matheus criou a colaboradora Gabi (sucessodoaluno@metodointencao.com.br), ela recebeu o convite, criou a conta às 14:56 e entrou às 14:59, com team_members.status='ativo' e as 7 permissões. De quebra revelou a #265 (login por e-mail desligado). O que sobrou — promover um MENTOR afiliado de verdade, com terceiro real — virou a #268.</t>
        </is>
      </c>
    </row>
    <row r="104">
      <c r="A104" s="9" t="n">
        <v>103</v>
      </c>
      <c r="B104" s="9" t="inlineStr">
        <is>
          <t>Mentor vira aluno promovido: um cadastro, um painel</t>
        </is>
      </c>
      <c r="C104" s="9" t="inlineStr">
        <is>
          <t>team_members passa a apontar para people, promover/rebaixar vira ação na ficha da pessoa e /aluno ganha o menu Grupos.</t>
        </is>
      </c>
      <c r="D104" s="9" t="inlineStr">
        <is>
          <t>Infra</t>
        </is>
      </c>
      <c r="E104" s="9" t="inlineStr">
        <is>
          <t>Concluído</t>
        </is>
      </c>
      <c r="F104" s="9" t="n">
        <v>103</v>
      </c>
      <c r="G104" s="9" t="inlineStr">
        <is>
          <t>Claude</t>
        </is>
      </c>
      <c r="H104" s="9" t="inlineStr">
        <is>
          <t>docs/plano-area-do-aluno.md § Anexo 3 itens 1, 2 e 4 · fila-area-do-aluno.md tabela linha 22 · git log bd83548</t>
        </is>
      </c>
      <c r="I104" s="9" t="inlineStr">
        <is>
          <t>/mentores virou redirect para /pessoas: era o fluxo VELHO, que criava team_members sem person_id (cadastro solto). O vigente é promover_a_mentor na ficha da pessoa. Conferido no banco: zero mentores sem person_id — a virada não duplicou ninguém.</t>
        </is>
      </c>
    </row>
    <row r="105">
      <c r="A105" s="9" t="n">
        <v>104</v>
      </c>
      <c r="B105" s="9" t="inlineStr">
        <is>
          <t>Menu Gestão com abas Agenda e Kanban</t>
        </is>
      </c>
      <c r="C105" s="9" t="inlineStr">
        <is>
          <t>Menu novo na barra lateral reunindo a agenda visual e o quadro de devolutivas.</t>
        </is>
      </c>
      <c r="D105" s="9" t="inlineStr">
        <is>
          <t>Agenda</t>
        </is>
      </c>
      <c r="E105" s="9" t="inlineStr">
        <is>
          <t>Concluído</t>
        </is>
      </c>
      <c r="F105" s="9" t="n">
        <v>104</v>
      </c>
      <c r="G105" s="9" t="inlineStr">
        <is>
          <t>Claude</t>
        </is>
      </c>
      <c r="H105" s="9" t="inlineStr">
        <is>
          <t>docs/plano-menu-gestao.md § Etapa 1 · backlog-menu-gestao.md</t>
        </is>
      </c>
      <c r="I105" s="9" t="inlineStr">
        <is>
          <t>Varredura completa do Claude Code, 03/08 (11 áreas, 237 demandas), cruzada com a varredura independente do chat. O 'REGISTRO ERRADO' já escrito aqui tem uma imprecisão sobre QUANDO as telas sumiram — o conteúdo da decisão segue certo.</t>
        </is>
      </c>
    </row>
    <row r="106">
      <c r="A106" s="9" t="n">
        <v>105</v>
      </c>
      <c r="B106" s="9" t="inlineStr">
        <is>
          <t>Permissão de baixar PDF do relatório</t>
        </is>
      </c>
      <c r="C106" s="9" t="inlineStr">
        <is>
          <t>Mentor sem a permissão 'pode baixar' no grupo deixa de ver o botão de PDF.</t>
        </is>
      </c>
      <c r="D106" s="9" t="inlineStr">
        <is>
          <t>Relatórios</t>
        </is>
      </c>
      <c r="E106" s="9" t="inlineStr">
        <is>
          <t>Concluído</t>
        </is>
      </c>
      <c r="F106" s="9" t="n">
        <v>105</v>
      </c>
      <c r="G106" s="9" t="inlineStr">
        <is>
          <t>Claude</t>
        </is>
      </c>
      <c r="H106" s="9" t="inlineStr">
        <is>
          <t>git log b89c970</t>
        </is>
      </c>
      <c r="I106" s="9" t="inlineStr">
        <is>
          <t>Provado: mentor sem 'pode baixar' naquele grupo não vê o botão de PDF em Pessoas, E a rota de download nega mesmo se o botão for forçado (checagem fecha aberta corretamente). Achado e corrigido no caminho: o Dashboard tinha cartões clicáveis para áreas fora da permissão do colaborador (bypass real, não só cosmético). Fechado no commit db0cd9e (31/07).</t>
        </is>
      </c>
    </row>
    <row r="107">
      <c r="A107" s="9" t="n">
        <v>106</v>
      </c>
      <c r="B107" s="9" t="inlineStr">
        <is>
          <t>Ranking e aba Membros ao lado do feed</t>
        </is>
      </c>
      <c r="C107" s="9" t="inlineStr">
        <is>
          <t>Item F: o ranking sai de menu próprio e vira coluna à esquerda do feed, com nova aba Membros.</t>
        </is>
      </c>
      <c r="D107" s="9" t="inlineStr">
        <is>
          <t>Comunidade</t>
        </is>
      </c>
      <c r="E107" s="9" t="inlineStr">
        <is>
          <t>Concluído</t>
        </is>
      </c>
      <c r="F107" s="9" t="n">
        <v>106</v>
      </c>
      <c r="G107" s="9" t="inlineStr">
        <is>
          <t>Claude</t>
        </is>
      </c>
      <c r="H107" s="9" t="inlineStr">
        <is>
          <t>docs/plano-demandas-30-07.md § F · git log ba4f628</t>
        </is>
      </c>
      <c r="I107" s="9" t="inlineStr">
        <is>
          <t>Já estava feito: aluno.ranking.tsx:82 mostra os grupos como abas quando há mais de um. A ressalva era memória velha.</t>
        </is>
      </c>
    </row>
    <row r="108">
      <c r="A108" s="9" t="n">
        <v>107</v>
      </c>
      <c r="B108" s="9" t="inlineStr">
        <is>
          <t>SPF, DKIM e DMARC no Registro.br</t>
        </is>
      </c>
      <c r="C108" s="9" t="inlineStr">
        <is>
          <t>Zona do metodointencao.com.br com SPF do Google, DMARC p=none, DKIM do Workspace e os registros do Resend; verificado em quatro resolvedores.</t>
        </is>
      </c>
      <c r="D108" s="9" t="inlineStr">
        <is>
          <t>Infra</t>
        </is>
      </c>
      <c r="E108" s="9" t="inlineStr">
        <is>
          <t>Concluído</t>
        </is>
      </c>
      <c r="F108" s="9" t="n">
        <v>107</v>
      </c>
      <c r="G108" s="9" t="inlineStr">
        <is>
          <t>Claude</t>
        </is>
      </c>
      <c r="H108" s="9" t="inlineStr">
        <is>
          <t>dns-registro-br-autenticacao-email.md</t>
        </is>
      </c>
      <c r="I108" s="9" t="inlineStr">
        <is>
          <t>docs/autenticacao-de-email.md, escrito consultando o DNS ao vivo. Registra o que está publicado e por que o SPF da raiz não citar o Resend NÃO é defeito. Achado: DMARC em p=none não protege nada — o caminho para p=quarantine está no documento, não executado por ser DNS do domínio dele.</t>
        </is>
      </c>
    </row>
    <row r="109">
      <c r="A109" s="9" t="n">
        <v>108</v>
      </c>
      <c r="B109" s="9" t="inlineStr">
        <is>
          <t>Selo da empresa no rodapé de todas as páginas</t>
        </is>
      </c>
      <c r="C109" s="9" t="inlineStr">
        <is>
          <t>Item K: nome e CNPJ identificando quem opera a plataforma, em telas internas e públicas, sem chave de ligar/desligar.</t>
        </is>
      </c>
      <c r="D109" s="9" t="inlineStr">
        <is>
          <t>Plataforma</t>
        </is>
      </c>
      <c r="E109" s="9" t="inlineStr">
        <is>
          <t>Concluído</t>
        </is>
      </c>
      <c r="F109" s="9" t="n">
        <v>108</v>
      </c>
      <c r="G109" s="9" t="inlineStr">
        <is>
          <t>Claude</t>
        </is>
      </c>
      <c r="H109" s="9" t="inlineStr">
        <is>
          <t>docs/plano-demandas-30-07.md § item K · git log 238e88a</t>
        </is>
      </c>
      <c r="I109" s="9" t="inlineStr">
        <is>
          <t>Feito na tela que mais importa: /responder aplicava a marca padrão porque ResponseForm ignorava o `brand` que o endpoint sempre devolveu — não era só o selo, era cor e logo também. Selo nos quatro finais da tela. /convite já tinha. FALTA: /convite-equipe (dá para fazer: o token identifica a conta e dadosDoConvite existe, mas a tela nem chama). /auth NÃO dá: é o login da plataforma inteira e a conta só se conhece depois de entrar. ABSORVIDA PELA #262 em 05/08. A ressalva dizia que '/auth NÃO dá: a conta só se conhece depois de entrar' — isso DEIXOU DE SER VERDADE hoje: a #261 resolve exatamente isso, fazendo a marca vir do endereço do site, então a tela de login sabe de quem é antes de qualquer login. E a #262 já lista /convite-equipe, o outro item que faltava. Fazer separado seria passar duas vezes pelos mesmos arquivos.</t>
        </is>
      </c>
    </row>
    <row r="110">
      <c r="A110" s="9" t="n">
        <v>109</v>
      </c>
      <c r="B110" s="9" t="inlineStr">
        <is>
          <t>Tipo de pergunta forced_choice</t>
        </is>
      </c>
      <c r="C110" s="9" t="inlineStr">
        <is>
          <t>Escolha forçada most/least usada em DISC, Valores, Temperamentos e VAK, gerando natural e adaptado.</t>
        </is>
      </c>
      <c r="D110" s="9" t="inlineStr">
        <is>
          <t>Testes</t>
        </is>
      </c>
      <c r="E110" s="9" t="inlineStr">
        <is>
          <t>Concluído</t>
        </is>
      </c>
      <c r="F110" s="9" t="n">
        <v>109</v>
      </c>
      <c r="G110" s="9" t="inlineStr">
        <is>
          <t>Claude</t>
        </is>
      </c>
      <c r="H110" s="9" t="inlineStr">
        <is>
          <t>CLAUDE.md § Estado atual e § Motor de pontuação · git log dbb083a</t>
        </is>
      </c>
      <c r="I110" s="9" t="inlineStr">
        <is>
          <t>listResponses devolve aceita_observador; o botão some em Big Five e QI. O servidor continua recusando, como backstop.</t>
        </is>
      </c>
    </row>
    <row r="111">
      <c r="A111" s="9" t="n">
        <v>110</v>
      </c>
      <c r="B111" s="9" t="inlineStr">
        <is>
          <t>'Continue assistindo' e progresso no card da trilha</t>
        </is>
      </c>
      <c r="C111" s="9" t="inlineStr">
        <is>
          <t>learning_progress já tem track_id e user_id, mas listTracks não agrega. Sem isso o aluno não distingue trilha nunca aberta de trilha 80% concluída, e precisa lembrar onde parou.</t>
        </is>
      </c>
      <c r="D111" s="9" t="inlineStr">
        <is>
          <t>Academy</t>
        </is>
      </c>
      <c r="E111" s="9" t="inlineStr">
        <is>
          <t>Planejado</t>
        </is>
      </c>
      <c r="F111" s="9" t="n">
        <v>110</v>
      </c>
      <c r="G111" s="9" t="inlineStr">
        <is>
          <t>Claude</t>
        </is>
      </c>
      <c r="H111" s="9" t="inlineStr">
        <is>
          <t>levantamento do G-3, 30/07</t>
        </is>
      </c>
      <c r="I111" s="9" t="inlineStr"/>
    </row>
    <row r="112">
      <c r="A112" s="9" t="n">
        <v>111</v>
      </c>
      <c r="B112" s="9" t="inlineStr">
        <is>
          <t>Arquivo da biblioteca continua acessível por link direto</t>
        </is>
      </c>
      <c r="C112" s="9" t="inlineStr">
        <is>
          <t>O bucket 'biblioteca' é público. O cadeado esconde a LINHA, não o ARQUIVO: quem já tinha a URL continua baixando depois de perder o acesso. Fechar exige bucket privado + URL assinada.</t>
        </is>
      </c>
      <c r="D112" s="9" t="inlineStr">
        <is>
          <t>Academy</t>
        </is>
      </c>
      <c r="E112" s="9" t="inlineStr">
        <is>
          <t>Concluído</t>
        </is>
      </c>
      <c r="F112" s="9" t="n">
        <v>111</v>
      </c>
      <c r="G112" s="9" t="inlineStr">
        <is>
          <t>Claude</t>
        </is>
      </c>
      <c r="H112" s="9" t="inlineStr">
        <is>
          <t>levantamento das pastas, 30/07</t>
        </is>
      </c>
      <c r="I112" s="9" t="inlineStr">
        <is>
          <t>Fechado em c03134c (ponto de retorno em 6875626). Bucket biblioteca virou privado; toda tela pede link assinado ao servidor, que decide na hora quem pode ver (10 min para material/capa/banner). CONFERIDO POR FORA: bucket public=false; a URL pública antiga do material devolve HTTP 400 sem login; a chave pública (a que vai embutida no navegador) já não consegue assinar link — antes conseguia. ACHADO EXTRA fechado junto: com só a chave pública dava para pedir link válido de QUALQUER arquivo dos dois buckets pelo Console (F12); fechar o bucket sozinho não resolveria isso. Coluna arquivo_proprio substituiu a adivinhação pelo formato da URL. RESSALVA: mentor convidado e colaborador não foram testados com login separado — passam pela mesma função de servidor que dono e aluno, que foram testados. Fica coberto pela demanda #19 (provar os papéis com conta de colaborador).</t>
        </is>
      </c>
    </row>
    <row r="113">
      <c r="A113" s="9" t="n">
        <v>112</v>
      </c>
      <c r="B113" s="9" t="inlineStr">
        <is>
          <t>Capa de trilha sem limite de tamanho</t>
        </is>
      </c>
      <c r="C113" s="9" t="inlineStr">
        <is>
          <t>Banner e capa de material têm limite de 3 MB; a capa da TRILHA é só um campo de URL colada, sem upload nem limite. É a imagem que se repete em toda prateleira — uma capa de 8 MB trava a Academy no 4G do aluno.</t>
        </is>
      </c>
      <c r="D113" s="9" t="inlineStr">
        <is>
          <t>Academy</t>
        </is>
      </c>
      <c r="E113" s="9" t="inlineStr">
        <is>
          <t>Concluído</t>
        </is>
      </c>
      <c r="F113" s="9" t="n">
        <v>112</v>
      </c>
      <c r="G113" s="9" t="inlineStr">
        <is>
          <t>Claude</t>
        </is>
      </c>
      <c r="H113" s="9" t="inlineStr">
        <is>
          <t>levantamento do G-3, 30/07</t>
        </is>
      </c>
      <c r="I113" s="9" t="inlineStr">
        <is>
          <t>urlOpcional (src/lib/url-segura.ts) valida http/https nos cinco campos de link: capa de trilha, capa de treinamento, vídeo da aula e os dois avatares.</t>
        </is>
      </c>
    </row>
    <row r="114">
      <c r="A114" s="9" t="n">
        <v>113</v>
      </c>
      <c r="B114" s="9" t="inlineStr">
        <is>
          <t>Prateleiras sem seta de rolagem</t>
        </is>
      </c>
      <c r="C114" s="9" t="inlineStr">
        <is>
          <t>As fileiras são só overflow-x-auto. No macOS a barra fica invisível até o gesto começar — sem seta e sem card cortado pela metade, quem usa desktop não descobre que há mais trilhas à direita.</t>
        </is>
      </c>
      <c r="D114" s="9" t="inlineStr">
        <is>
          <t>Academy</t>
        </is>
      </c>
      <c r="E114" s="9" t="inlineStr">
        <is>
          <t>Planejado</t>
        </is>
      </c>
      <c r="F114" s="9" t="n">
        <v>113</v>
      </c>
      <c r="G114" s="9" t="inlineStr">
        <is>
          <t>Claude</t>
        </is>
      </c>
      <c r="H114" s="9" t="inlineStr">
        <is>
          <t>levantamento do G-3, 30/07</t>
        </is>
      </c>
      <c r="I114" s="9" t="inlineStr"/>
    </row>
    <row r="115">
      <c r="A115" s="9" t="n">
        <v>114</v>
      </c>
      <c r="B115" s="9" t="inlineStr">
        <is>
          <t>GRANT EXECUTE nas funções SECURITY DEFINER</t>
        </is>
      </c>
      <c r="C115" s="9" t="inlineStr">
        <is>
          <t>As policies de teste dependem dessas funções; o scanner do Lovable já revogou o grant uma vez e derrubou o app inteiro.</t>
        </is>
      </c>
      <c r="D115" s="9" t="inlineStr">
        <is>
          <t>Infra</t>
        </is>
      </c>
      <c r="E115" s="9" t="inlineStr">
        <is>
          <t>Concluído</t>
        </is>
      </c>
      <c r="F115" s="9" t="n">
        <v>114</v>
      </c>
      <c r="G115" s="9" t="inlineStr">
        <is>
          <t>Claude</t>
        </is>
      </c>
      <c r="H115" s="9" t="inlineStr">
        <is>
          <t>CLAUDE.md § Modelo de dados</t>
        </is>
      </c>
      <c r="I115" s="9" t="inlineStr">
        <is>
          <t>Varredura completa do Claude Code, 03/08 (11 áreas, 237 demandas), cruzada com a varredura independente do chat. Três funções seguem sem GRANT, e isso é INTENCIONAL — foram fechadas no trabalho de segurança de 30/07. Ver #241.</t>
        </is>
      </c>
    </row>
    <row r="116">
      <c r="A116" s="9" t="n">
        <v>115</v>
      </c>
      <c r="B116" s="9" t="inlineStr">
        <is>
          <t>Alerta crítico do scanner do Lovable sobre report_content</t>
        </is>
      </c>
      <c r="C116" s="9" t="inlineStr">
        <is>
          <t>A policy rc_read_authenticated (USING true) deixa qualquer usuário logado ler o conteúdo de relatório de todos os mentores. Está assim por design (o conteúdo é global e compartilhado), mas o alerta continua aberto no painel do Lov</t>
        </is>
      </c>
      <c r="D116" s="9" t="inlineStr">
        <is>
          <t>Segurança / RLS</t>
        </is>
      </c>
      <c r="E116" s="9" t="inlineStr">
        <is>
          <t>Concluído</t>
        </is>
      </c>
      <c r="F116" s="9" t="n">
        <v>115</v>
      </c>
      <c r="G116" s="9" t="inlineStr">
        <is>
          <t>Claude</t>
        </is>
      </c>
      <c r="H116" s="9" t="inlineStr">
        <is>
          <t>memory/publicacao-exige-cutover.md, seção "⚠️ Alertas do scanner do Lovable — NÃO clicar em Try to fix all" (a</t>
        </is>
      </c>
      <c r="I116" s="9" t="inlineStr">
        <is>
          <t>Conferido: policy agora é version_id IS NULL OR owns_test_version(). Relatório continua montando as 8 seções pelo endpoint público (usa service role).</t>
        </is>
      </c>
    </row>
    <row r="117">
      <c r="A117" s="9" t="n">
        <v>116</v>
      </c>
      <c r="B117" s="9" t="inlineStr">
        <is>
          <t>'Não pode baixar' é só trava de interface</t>
        </is>
      </c>
      <c r="C117" s="9" t="inlineStr">
        <is>
          <t>O link do relatório é aberto, então quem tiver o link imprime pelo navegador mesmo sem can_download_reports.</t>
        </is>
      </c>
      <c r="D117" s="9" t="inlineStr">
        <is>
          <t>Relatórios</t>
        </is>
      </c>
      <c r="E117" s="9" t="inlineStr">
        <is>
          <t>Concluído</t>
        </is>
      </c>
      <c r="F117" s="9" t="n">
        <v>116</v>
      </c>
      <c r="G117" s="9" t="inlineStr">
        <is>
          <t>Claude</t>
        </is>
      </c>
      <c r="H117" s="9" t="inlineStr">
        <is>
          <t>arquitetura-equipe-e-permissoes.md, aviso final</t>
        </is>
      </c>
      <c r="I117" s="9" t="inlineStr">
        <is>
          <t>Conferido: o hook falhava ABERTO (erro → null → regra do avaliado → botão aparecia). Agora falha fechado. ⚠️ Continua sendo trava de interface: o relatório abre por link e o download é window.print(). Fechar de verdade = pedir login para ver relatório, decisão sua.</t>
        </is>
      </c>
    </row>
    <row r="118">
      <c r="A118" s="9" t="n">
        <v>117</v>
      </c>
      <c r="B118" s="9" t="inlineStr">
        <is>
          <t>Cadeado e áreas sem teste com login de aluno real</t>
        </is>
      </c>
      <c r="C118" s="9" t="inlineStr">
        <is>
          <t>A verificação foi pela prévia 'ver como aluno' mais o predicado do banco; as policies com auth.uid() de aluno não foram exercitadas.</t>
        </is>
      </c>
      <c r="D118" s="9" t="inlineStr">
        <is>
          <t>Academy</t>
        </is>
      </c>
      <c r="E118" s="9" t="inlineStr">
        <is>
          <t>Concluído</t>
        </is>
      </c>
      <c r="F118" s="9" t="n">
        <v>117</v>
      </c>
      <c r="G118" s="9" t="inlineStr">
        <is>
          <t>Claude</t>
        </is>
      </c>
      <c r="H118" s="9" t="inlineStr">
        <is>
          <t>feature-cadeado-e-areas-do-grupo.md § Como testei</t>
        </is>
      </c>
      <c r="I118" s="9" t="inlineStr">
        <is>
          <t>TESTADO COM ALUNO DE VERDADE (conta zz.aluno.teste, criada e apagada). Achou 2 bugs graves, ambos corrigidos: o aluno caía no painel do mentor, e não lia o próprio grupo.</t>
        </is>
      </c>
    </row>
    <row r="119">
      <c r="A119" s="9" t="n">
        <v>118</v>
      </c>
      <c r="B119" s="9" t="inlineStr">
        <is>
          <t>Ranking: caso do aluno não exercitado com login real</t>
        </is>
      </c>
      <c r="C119" s="9" t="inlineStr">
        <is>
          <t>A correção da conta em que o ponto nasce foi testada pelo mesmo código, mas pela conta do dono.</t>
        </is>
      </c>
      <c r="D119" s="9" t="inlineStr">
        <is>
          <t>Comunidade</t>
        </is>
      </c>
      <c r="E119" s="9" t="inlineStr">
        <is>
          <t>Concluído</t>
        </is>
      </c>
      <c r="F119" s="9" t="n">
        <v>118</v>
      </c>
      <c r="G119" s="9" t="inlineStr">
        <is>
          <t>Claude</t>
        </is>
      </c>
      <c r="H119" s="9" t="inlineStr">
        <is>
          <t>estado-atual-e-fila.md, aviso após a lista do ranking</t>
        </is>
      </c>
      <c r="I119" s="9" t="inlineStr">
        <is>
          <t>Testado com login real da aluna Gabriela Inácio Botelho (não com a conta do dono). O professor concluiu uma sessão de mentoria dela; a linha gerada em `pontos` tem user_id = Gabriela (quem ganhou o ponto) e mentor_id = b676892d, a conta do dono — não uma conta da própria Gabriela. Conferido direto no banco via REST, com service role, não só pela tela.</t>
        </is>
      </c>
    </row>
    <row r="120">
      <c r="A120" s="9" t="n">
        <v>119</v>
      </c>
      <c r="B120" s="9" t="inlineStr">
        <is>
          <t>Cadeado da Academy: trilha liberada por pessoa e grupo</t>
        </is>
      </c>
      <c r="C120" s="9" t="inlineStr">
        <is>
          <t>O professor escolhe quem abre cada trilha; quem não foi escolhido vê o card em cinza com cadeado e motivo, e a tranca vale no banco.</t>
        </is>
      </c>
      <c r="D120" s="9" t="inlineStr">
        <is>
          <t>Academy</t>
        </is>
      </c>
      <c r="E120" s="9" t="inlineStr">
        <is>
          <t>Concluído</t>
        </is>
      </c>
      <c r="F120" s="9" t="n">
        <v>119</v>
      </c>
      <c r="G120" s="9" t="inlineStr">
        <is>
          <t>Claude</t>
        </is>
      </c>
      <c r="H120" s="9" t="inlineStr">
        <is>
          <t>feature-cadeado-e-areas-do-grupo.md § 1 · git log 31ee5bd</t>
        </is>
      </c>
      <c r="I120" s="9" t="inlineStr">
        <is>
          <t>Testado com aluno real: trilha sem destino em 'Disponíveis'; trilha mirada em outro grupo em 'Ainda não liberadas', com cadeado; as AULAS dela não vieram na resposta da API.</t>
        </is>
      </c>
    </row>
    <row r="121">
      <c r="A121" s="9" t="n">
        <v>120</v>
      </c>
      <c r="B121" s="9" t="inlineStr">
        <is>
          <t>Pontuação e ranking do grupo</t>
        </is>
      </c>
      <c r="C121" s="9" t="inlineStr">
        <is>
          <t>Pesos por esforço (aula 20, devolutiva 15, publicar 8, perfil 5, comentar 2, curtir 1) com teto diário nas ações baratas.</t>
        </is>
      </c>
      <c r="D121" s="9" t="inlineStr">
        <is>
          <t>Comunidade</t>
        </is>
      </c>
      <c r="E121" s="9" t="inlineStr">
        <is>
          <t>Concluído</t>
        </is>
      </c>
      <c r="F121" s="9" t="n">
        <v>120</v>
      </c>
      <c r="G121" s="9" t="inlineStr">
        <is>
          <t>Claude</t>
        </is>
      </c>
      <c r="H121" s="9" t="inlineStr">
        <is>
          <t>docs/plano-area-do-aluno.md § 4 e Tabela de pontos · fila-area-do-aluno.md tabela linha 20 · git log 5cd972d</t>
        </is>
      </c>
      <c r="I121" s="9" t="inlineStr">
        <is>
          <t>Testado com login real da aluna Gabriela. Peso da devolutiva (mentoria) conferido na prática: 15 pts, bate com a tabela. Ranking do grupo Turma Teste ordena certo (total decrescente, empate por nome) e Gabriela passou a aparecer nele depois de pontuar — antes só tinha quem nunca tinha sido testado com aluno de verdade. Peso da comunidade (16 pts/dia) testado na prática em #121; os demais pesos (aula 20, publicar 8, perfil 5, comentar 2, curtir 1) conferidos no código de pontos.functions.ts.</t>
        </is>
      </c>
    </row>
    <row r="122">
      <c r="A122" s="9" t="n">
        <v>121</v>
      </c>
      <c r="B122" s="9" t="inlineStr">
        <is>
          <t>Três defeitos do ranking corrigidos</t>
        </is>
      </c>
      <c r="C122" s="9" t="inlineStr">
        <is>
          <t>Devolutiva nunca pontuava, contaDaPessoa gravava na conta errada para aluno, e o teto da comunidade virou 16 pts/dia com virada à meia-noite de Brasília.</t>
        </is>
      </c>
      <c r="D122" s="9" t="inlineStr">
        <is>
          <t>Comunidade</t>
        </is>
      </c>
      <c r="E122" s="9" t="inlineStr">
        <is>
          <t>Concluído</t>
        </is>
      </c>
      <c r="F122" s="9" t="n">
        <v>121</v>
      </c>
      <c r="G122" s="9" t="inlineStr">
        <is>
          <t>Claude</t>
        </is>
      </c>
      <c r="H122" s="9" t="inlineStr">
        <is>
          <t>estado-atual-e-fila.md lista numerada 1-3</t>
        </is>
      </c>
      <c r="I122" s="9" t="inlineStr">
        <is>
          <t>Os 3 testados com login real (aluna Gabriela + professor), não com a conta do dono. (a) Devolutiva pontua: sessão de mentoria concluída gerou 15 pts. (b) Conta certa: o ponto da aluna nasceu na conta do mentor, não na dela — mesmo teste do #118. (c) Teto de 16 pts/dia: 2 publicações (8+8=16) pontuaram; a 3ª ação de comunidade (curtida) foi aceita normalmente mas não pontuou (16+1&gt;16) — confirmado no banco (a curtida existe em community_reactions, o ponto correspondente não existe em pontos). Bônus: presença de aula (20 pts) marcada com a comunidade já no teto, e pontuou normalmente — confirma que aula e devolutiva não entram nesse teto. Ressalva: o reset à meia-noite de Brasília foi conferido lendo o código (usa fuso America/Sao_Paulo, não a meia-noite do servidor) — não foi possível testar esperando a virada real do relógio dentro da sessão.</t>
        </is>
      </c>
    </row>
    <row r="123">
      <c r="A123" s="9" t="n">
        <v>122</v>
      </c>
      <c r="B123" s="9" t="inlineStr">
        <is>
          <t>Área do aluno com login do avaliado</t>
        </is>
      </c>
      <c r="C123" s="9" t="inlineStr">
        <is>
          <t>people.user_id liga o cadastro a auth.users e claim_student_profile() casa por e-mail; em /aluno o avaliado vê os próprios testes e trilhas.</t>
        </is>
      </c>
      <c r="D123" s="9" t="inlineStr">
        <is>
          <t>Plataforma</t>
        </is>
      </c>
      <c r="E123" s="9" t="inlineStr">
        <is>
          <t>Concluído</t>
        </is>
      </c>
      <c r="F123" s="9" t="n">
        <v>122</v>
      </c>
      <c r="G123" s="9" t="inlineStr">
        <is>
          <t>Claude</t>
        </is>
      </c>
      <c r="H123" s="9" t="inlineStr">
        <is>
          <t>roadmap-proximas-features.md item 5 · feature-educacao-e-area-do-aluno.md · git log c8df882</t>
        </is>
      </c>
      <c r="I123" s="9" t="inlineStr">
        <is>
          <t>Testado ponta a ponta com login real. Achou o bug do redirecionamento (aluno via o painel do mentor) — corrigido.</t>
        </is>
      </c>
    </row>
    <row r="124">
      <c r="A124" s="9" t="n">
        <v>123</v>
      </c>
      <c r="B124" s="9" t="inlineStr">
        <is>
          <t>Áreas do painel do aluno por grupo</t>
        </is>
      </c>
      <c r="C124" s="9" t="inlineStr">
        <is>
          <t>groups.areas_aluno define os menus que o aluno vê; NULL = tudo, união entre grupos, e a tranca vale nas policies.</t>
        </is>
      </c>
      <c r="D124" s="9" t="inlineStr">
        <is>
          <t>Plataforma</t>
        </is>
      </c>
      <c r="E124" s="9" t="inlineStr">
        <is>
          <t>Concluído</t>
        </is>
      </c>
      <c r="F124" s="9" t="n">
        <v>123</v>
      </c>
      <c r="G124" s="9" t="inlineStr">
        <is>
          <t>Claude</t>
        </is>
      </c>
      <c r="H124" s="9" t="inlineStr">
        <is>
          <t>feature-cadeado-e-areas-do-grupo.md § 2 · git log b156b8c</t>
        </is>
      </c>
      <c r="I124" s="9" t="inlineStr">
        <is>
          <t>Testado com aluno real: grupo com academy+resultados deixou o menu com 3 itens; /aluno/comunidade e /aluno/ranking digitados à mão caíram na tela de sem acesso; classroom, agenda e devolutivas voltaram vazios do banco.</t>
        </is>
      </c>
    </row>
    <row r="125">
      <c r="A125" s="9" t="n">
        <v>124</v>
      </c>
      <c r="B125" s="9" t="inlineStr">
        <is>
          <t>Planilha de gestão das demandas em Kanban, atualizada em tempo real</t>
        </is>
      </c>
      <c r="C125" s="9" t="inlineStr">
        <is>
          <t>Último pedido dele na sessão de 30/07: transformar a tabela de demandas numa planilha do Google no formato Kanban — planejado / em andamento / concluído / precisa de melhorias — e mantê-la atualizada em tempo real. É o trabalho qu</t>
        </is>
      </c>
      <c r="D125" s="9" t="inlineStr">
        <is>
          <t>Gestão do projeto</t>
        </is>
      </c>
      <c r="E125" s="9" t="inlineStr">
        <is>
          <t>Concluído</t>
        </is>
      </c>
      <c r="F125" s="9" t="n">
        <v>124</v>
      </c>
      <c r="G125" s="9" t="inlineStr">
        <is>
          <t>Claude</t>
        </is>
      </c>
      <c r="H125" s="9" t="inlineStr">
        <is>
          <t>Última mensagem dele na sessão c23c62de (30/07): "Você consegue transformar essa tabela em Excel em uma planil</t>
        </is>
      </c>
      <c r="I125" s="9" t="inlineStr">
        <is>
          <t>Conferido: planilha no ar (docs.google.com/…/1GNuzeYp8…), fonte em scripts/kanban_dados.json. Testado: mudar o Status move o cartão de coluna e as contagens acompanham.</t>
        </is>
      </c>
    </row>
    <row r="126">
      <c r="A126" s="9" t="n">
        <v>125</v>
      </c>
      <c r="B126" s="9" t="inlineStr">
        <is>
          <t>"Aula cancelada" existe no banco e não tem botão</t>
        </is>
      </c>
      <c r="C126" s="9" t="inlineStr">
        <is>
          <t>A coluna treinamento_aulas.cancelada foi criada na migração 20260730170000_classroom_presenca.sql e já é respeitada nos cálculos (aula cancelada sai do denominador da frequência, src/lib/presenca.ts:118 e presenca.server.ts:279).</t>
        </is>
      </c>
      <c r="D126" s="9" t="inlineStr">
        <is>
          <t>Classroom / Presença</t>
        </is>
      </c>
      <c r="E126" s="9" t="inlineStr">
        <is>
          <t>Concluído</t>
        </is>
      </c>
      <c r="F126" s="9" t="n">
        <v>125</v>
      </c>
      <c r="G126" s="9" t="inlineStr">
        <is>
          <t>Claude</t>
        </is>
      </c>
      <c r="H126" s="9" t="inlineStr">
        <is>
          <t>Mensagem de entrega da etapa 5 ("ganhou coluna no banco, mas ainda não tem botão"); verificado no código: nenh</t>
        </is>
      </c>
      <c r="I126" s="9" t="inlineStr">
        <is>
          <t>Conferido: cancelarAula em classroom.functions.ts + botão no AulaDialog. Testado na plataforma: cancelou, faixa apareceu, check-in sumiu, título riscado no índice; reativou e voltou.</t>
        </is>
      </c>
    </row>
    <row r="127">
      <c r="A127" s="9" t="n">
        <v>126</v>
      </c>
      <c r="B127" s="9" t="inlineStr">
        <is>
          <t>Academy: pastas de materiais com cadeado</t>
        </is>
      </c>
      <c r="C127" s="9" t="inlineStr">
        <is>
          <t>Criar pasta na Academy e colocar materiais dentro (PDFs, planilhas, imagens), agrupados por formato na tela. Material solto continua existindo. Pasta e material escolhem para quais pessoas/grupos aparecem liberados ou trancados.</t>
        </is>
      </c>
      <c r="D127" s="9" t="inlineStr">
        <is>
          <t>Academy</t>
        </is>
      </c>
      <c r="E127" s="9" t="inlineStr">
        <is>
          <t>Concluído</t>
        </is>
      </c>
      <c r="F127" s="9" t="n">
        <v>126</v>
      </c>
      <c r="G127" s="9" t="inlineStr">
        <is>
          <t>Claude</t>
        </is>
      </c>
      <c r="H127" s="9" t="inlineStr">
        <is>
          <t>pedido dele, 30/07/2026, nesta sessão</t>
        </is>
      </c>
      <c r="I127" s="9" t="inlineStr">
        <is>
          <t>Conferido: migração 20260730220000 + biblioteca.tsx. Testado: pasta criada, material movido para dentro (agrupado por formato), pasta trancada para um grupo — na prévia o aluno de fora vê cadeado e o material some; o de dentro vê tudo.</t>
        </is>
      </c>
    </row>
    <row r="128">
      <c r="A128" s="9" t="n">
        <v>127</v>
      </c>
      <c r="B128" s="9" t="inlineStr">
        <is>
          <t>Botão único 'Criar' com sub-botões na Academy</t>
        </is>
      </c>
      <c r="C128" s="9" t="inlineStr">
        <is>
          <t>Trocar '+ Nova trilha' por um botão 'Criar' que abre sub-botões recolhíveis: Criar trilha, Criar material, Criar pasta. Em vez de três botões soltos.</t>
        </is>
      </c>
      <c r="D128" s="9" t="inlineStr">
        <is>
          <t>Academy</t>
        </is>
      </c>
      <c r="E128" s="9" t="inlineStr">
        <is>
          <t>Concluído</t>
        </is>
      </c>
      <c r="F128" s="9" t="n">
        <v>127</v>
      </c>
      <c r="G128" s="9" t="inlineStr">
        <is>
          <t>Claude</t>
        </is>
      </c>
      <c r="H128" s="9" t="inlineStr">
        <is>
          <t>pedido dele, 30/07/2026, nesta sessão</t>
        </is>
      </c>
      <c r="I128" s="9" t="inlineStr">
        <is>
          <t>Conferido: DropdownMenu em _app.educacao.index.tsx com trilha/pasta/material/banner. Testado na plataforma. De quebra consertou o cabeçalho, que engolia banners e biblioteca no mesmo flex.</t>
        </is>
      </c>
    </row>
    <row r="129">
      <c r="A129" s="9" t="n">
        <v>128</v>
      </c>
      <c r="B129" s="9" t="inlineStr">
        <is>
          <t>Aba Devolutivas dentro da tela do grupo</t>
        </is>
      </c>
      <c r="C129" s="9" t="inlineStr">
        <is>
          <t>Fila, agendar, registrar e painel filtrados por aquele grupo, para o dono e para o mentor com permissão.</t>
        </is>
      </c>
      <c r="D129" s="9" t="inlineStr">
        <is>
          <t>Agenda</t>
        </is>
      </c>
      <c r="E129" s="9" t="inlineStr">
        <is>
          <t>Concluído</t>
        </is>
      </c>
      <c r="F129" s="9" t="n">
        <v>128</v>
      </c>
      <c r="G129" s="9" t="inlineStr">
        <is>
          <t>Claude</t>
        </is>
      </c>
      <c r="H129" s="9" t="inlineStr">
        <is>
          <t>docs/plano-area-do-aluno.md § Anexo 1 plano E · git log 10f1dc2</t>
        </is>
      </c>
      <c r="I129" s="9" t="inlineStr">
        <is>
          <t>Conferido: /Users/matheusguedescarneiro/Documents/persona-compass-suite/src/routes/_app.grupos.$id.tsx:148 (`&lt;TabsTrigger value="devolutivas"&gt;`) e :259 (`&lt;DevolutivasPage groupId={id} /&gt;`); a</t>
        </is>
      </c>
    </row>
    <row r="130">
      <c r="A130" s="9" t="n">
        <v>129</v>
      </c>
      <c r="B130" s="9" t="inlineStr">
        <is>
          <t>Aba Relatórios no perfil da pessoa</t>
        </is>
      </c>
      <c r="C130" s="9" t="inlineStr">
        <is>
          <t>Cada bateria vira uma linha e avulsos viram linhas próprias, com status Concluído / Parcial / Pendente.</t>
        </is>
      </c>
      <c r="D130" s="9" t="inlineStr">
        <is>
          <t>Relatórios</t>
        </is>
      </c>
      <c r="E130" s="9" t="inlineStr">
        <is>
          <t>Concluído</t>
        </is>
      </c>
      <c r="F130" s="9" t="n">
        <v>129</v>
      </c>
      <c r="G130" s="9" t="inlineStr">
        <is>
          <t>Claude</t>
        </is>
      </c>
      <c r="H130" s="9" t="inlineStr">
        <is>
          <t>roadmap-proximas-features.md item 3 · git log 3e29aee</t>
        </is>
      </c>
      <c r="I130" s="9" t="inlineStr">
        <is>
          <t>Conferido: src/routes/_app.pessoas.$id.tsx:145 (aba "Relatórios" com contagem) e linha 203 (`item.done === item.total ? "Concluído" : item.done &gt; 0 ? "Parcial" : "Pendente"`); o montador que</t>
        </is>
      </c>
    </row>
    <row r="131">
      <c r="A131" s="9" t="n">
        <v>130</v>
      </c>
      <c r="B131" s="9" t="inlineStr">
        <is>
          <t>Academy (LMS de trilhas, módulos e aulas)</t>
        </is>
      </c>
      <c r="C131" s="9" t="inlineStr">
        <is>
          <t>learning_tracks → modules → lessons → materials + progress; decisão dele: vídeo só por link do YouTube e material por link externo.</t>
        </is>
      </c>
      <c r="D131" s="9" t="inlineStr">
        <is>
          <t>Academy</t>
        </is>
      </c>
      <c r="E131" s="9" t="inlineStr">
        <is>
          <t>Concluído</t>
        </is>
      </c>
      <c r="F131" s="9" t="n">
        <v>130</v>
      </c>
      <c r="G131" s="9" t="inlineStr">
        <is>
          <t>Claude</t>
        </is>
      </c>
      <c r="H131" s="9" t="inlineStr">
        <is>
          <t>feature-educacao-e-area-do-aluno.md · git log c8df882</t>
        </is>
      </c>
      <c r="I131" s="9" t="inlineStr">
        <is>
          <t>Conferido: supabase/migrations/20260728050000_educacao_e_area_do_aluno.sql — learning_tracks (75), learning_modules (89), learning_lessons (101), learning_materials (116), learning_progress (</t>
        </is>
      </c>
    </row>
    <row r="132">
      <c r="A132" s="9" t="n">
        <v>131</v>
      </c>
      <c r="B132" s="9" t="inlineStr">
        <is>
          <t>Academy: banners rotativos no topo</t>
        </is>
      </c>
      <c r="C132" s="9" t="inlineStr">
        <is>
          <t>Item G-2: banners JPG/PNG com link, que o master adiciona, remove e ordena.</t>
        </is>
      </c>
      <c r="D132" s="9" t="inlineStr">
        <is>
          <t>Academy</t>
        </is>
      </c>
      <c r="E132" s="9" t="inlineStr">
        <is>
          <t>Concluído</t>
        </is>
      </c>
      <c r="F132" s="9" t="n">
        <v>131</v>
      </c>
      <c r="G132" s="9" t="inlineStr">
        <is>
          <t>Claude</t>
        </is>
      </c>
      <c r="H132" s="9" t="inlineStr">
        <is>
          <t>docs/plano-demandas-30-07.md § G item 2 · git log 17eb36f</t>
        </is>
      </c>
      <c r="I132" s="9" t="inlineStr">
        <is>
          <t>Conferido: supabase/migrations/20260730130000_academy_banners.sql (tabela `academy_banners` com ordem, ativo, link_url; escrita só para `mentor_id = auth.uid()`) + /Users/matheusguedescarneir</t>
        </is>
      </c>
    </row>
    <row r="133">
      <c r="A133" s="9" t="n">
        <v>132</v>
      </c>
      <c r="B133" s="9" t="inlineStr">
        <is>
          <t>Academy: biblioteca de materiais</t>
        </is>
      </c>
      <c r="C133" s="9" t="inlineStr">
        <is>
          <t>Item G-1: materiais soltos fora de aula, com categoria e busca; depois ganhou upload de arquivo até 25 MB e capa.</t>
        </is>
      </c>
      <c r="D133" s="9" t="inlineStr">
        <is>
          <t>Academy</t>
        </is>
      </c>
      <c r="E133" s="9" t="inlineStr">
        <is>
          <t>Concluído</t>
        </is>
      </c>
      <c r="F133" s="9" t="n">
        <v>132</v>
      </c>
      <c r="G133" s="9" t="inlineStr">
        <is>
          <t>Claude</t>
        </is>
      </c>
      <c r="H133" s="9" t="inlineStr">
        <is>
          <t>docs/plano-demandas-30-07.md § G item 1 · git log ee83b00 · git log f5107e9</t>
        </is>
      </c>
      <c r="I133" s="9" t="inlineStr">
        <is>
          <t>Conferido: supabase/migrations/20260730090000_biblioteca.sql (tabela `biblioteca_materiais` com categoria e RLS de leitura para a conta inteira) + supabase/migrations/20260730110000_bibliotec</t>
        </is>
      </c>
    </row>
    <row r="134">
      <c r="A134" s="9" t="n">
        <v>133</v>
      </c>
      <c r="B134" s="9" t="inlineStr">
        <is>
          <t>Agenda no painel do aluno</t>
        </is>
      </c>
      <c r="C134" s="9" t="inlineStr">
        <is>
          <t>Item E: a Agenda entra no menu lateral do aluno, mostrando só os compromissos dele.</t>
        </is>
      </c>
      <c r="D134" s="9" t="inlineStr">
        <is>
          <t>Agenda</t>
        </is>
      </c>
      <c r="E134" s="9" t="inlineStr">
        <is>
          <t>Concluído</t>
        </is>
      </c>
      <c r="F134" s="9" t="n">
        <v>133</v>
      </c>
      <c r="G134" s="9" t="inlineStr">
        <is>
          <t>Claude</t>
        </is>
      </c>
      <c r="H134" s="9" t="inlineStr">
        <is>
          <t>docs/plano-demandas-30-07.md § E · docs/plano-menu-gestao.md § Etapa 2 · git log e38d473</t>
        </is>
      </c>
      <c r="I134" s="9" t="inlineStr">
        <is>
          <t>Conferido: /Users/matheusguedescarneiro/Documents/persona-compass-suite/src/routes/aluno.agenda.tsx (rota existe) + src/routes/aluno.tsx:43 (item NAV "Agenda", area: "agenda")</t>
        </is>
      </c>
    </row>
    <row r="135">
      <c r="A135" s="9" t="n">
        <v>134</v>
      </c>
      <c r="B135" s="9" t="inlineStr">
        <is>
          <t>Aluno editando os próprios dados</t>
        </is>
      </c>
      <c r="C135" s="9" t="inlineStr">
        <is>
          <t>/aluno/perfil grava nome, telefone e foto em people via update_my_person (SECURITY DEFINER).</t>
        </is>
      </c>
      <c r="D135" s="9" t="inlineStr">
        <is>
          <t>Plataforma</t>
        </is>
      </c>
      <c r="E135" s="9" t="inlineStr">
        <is>
          <t>Concluído</t>
        </is>
      </c>
      <c r="F135" s="9" t="n">
        <v>134</v>
      </c>
      <c r="G135" s="9" t="inlineStr">
        <is>
          <t>Claude</t>
        </is>
      </c>
      <c r="H135" s="9" t="inlineStr">
        <is>
          <t>feature-tema-fotos-e-ver-como-aluno.md · git log 7b97f42</t>
        </is>
      </c>
      <c r="I135" s="9" t="inlineStr">
        <is>
          <t>Conferido: src/routes/aluno.perfil.tsx (231 linhas) + src/lib/student.functions.ts:119-134 (rpc update_my_person) + a função SECURITY DEFINER em supabase/migrations/20260729020000_fotos_e_dad</t>
        </is>
      </c>
    </row>
    <row r="136">
      <c r="A136" s="9" t="n">
        <v>135</v>
      </c>
      <c r="B136" s="9" t="inlineStr">
        <is>
          <t>Atraso, situação e frequência calculados, não guardados</t>
        </is>
      </c>
      <c r="C136" s="9" t="inlineStr">
        <is>
          <t>Derivados do horário da aula e dos check-ins; guardar criaria três lugares para o mesmo fato divergir.</t>
        </is>
      </c>
      <c r="D136" s="9" t="inlineStr">
        <is>
          <t>Classroom</t>
        </is>
      </c>
      <c r="E136" s="9" t="inlineStr">
        <is>
          <t>Concluído</t>
        </is>
      </c>
      <c r="F136" s="9" t="n">
        <v>135</v>
      </c>
      <c r="G136" s="9" t="inlineStr">
        <is>
          <t>Claude</t>
        </is>
      </c>
      <c r="H136" s="9" t="inlineStr">
        <is>
          <t>docs/analise-classroom.md § A tabela de presença — definitiva</t>
        </is>
      </c>
      <c r="I136" s="9" t="inlineStr">
        <is>
          <t>Conferido: src/lib/presenca.ts — funções puras atrasoMin(), situacaoDe(), frequenciaDe(), aulaContaNaFrequencia(); nenhuma coluna correspondente nas migrações: 20260730170000 só acrescenta fe</t>
        </is>
      </c>
    </row>
    <row r="137">
      <c r="A137" s="9" t="n">
        <v>136</v>
      </c>
      <c r="B137" s="9" t="inlineStr">
        <is>
          <t>Atribuir grupos ao mentor pela ficha da pessoa</t>
        </is>
      </c>
      <c r="C137" s="9" t="inlineStr">
        <is>
          <t>Opção B: participar do grupo e acompanhar o grupo continuam separados, e a atribuição fica na ficha da pessoa.</t>
        </is>
      </c>
      <c r="D137" s="9" t="inlineStr">
        <is>
          <t>Infra</t>
        </is>
      </c>
      <c r="E137" s="9" t="inlineStr">
        <is>
          <t>Concluído</t>
        </is>
      </c>
      <c r="F137" s="9" t="n">
        <v>136</v>
      </c>
      <c r="G137" s="9" t="inlineStr">
        <is>
          <t>Claude</t>
        </is>
      </c>
      <c r="H137" s="9" t="inlineStr">
        <is>
          <t>mentor-participar-vs-acompanhar.md · fila-area-do-aluno.md linhas 25-28 · git log a87a9e0</t>
        </is>
      </c>
      <c r="I137" s="9" t="inlineStr">
        <is>
          <t>Conferido: /Users/matheusguedescarneiro/Documents/persona-compass-suite/src/routes/_app.pessoas.$id.tsx:7 (importa gruposDoMentor, definirGrupoDoMentor, idsDeMentores) e :425-500 (lista de gr</t>
        </is>
      </c>
    </row>
    <row r="138">
      <c r="A138" s="9" t="n">
        <v>137</v>
      </c>
      <c r="B138" s="9" t="inlineStr">
        <is>
          <t>Avaliação 360° com observadores</t>
        </is>
      </c>
      <c r="C138" s="9" t="inlineStr">
        <is>
          <t>Além da autoavaliação, observadores respondem sobre a pessoa e o relatório compara as duas visões.</t>
        </is>
      </c>
      <c r="D138" s="9" t="inlineStr">
        <is>
          <t>Testes</t>
        </is>
      </c>
      <c r="E138" s="9" t="inlineStr">
        <is>
          <t>Concluído</t>
        </is>
      </c>
      <c r="F138" s="9" t="n">
        <v>137</v>
      </c>
      <c r="G138" s="9" t="inlineStr">
        <is>
          <t>Claude</t>
        </is>
      </c>
      <c r="H138" s="9" t="inlineStr">
        <is>
          <t>CLAUDE.md § Estado atual · git log 499b093</t>
        </is>
      </c>
      <c r="I138" s="9" t="inlineStr">
        <is>
          <t>Conferido: src/lib/tests.functions.ts:546 createObserverInvite (kind='observer', parent_response_id); src/lib/report.server.ts:458-490 (seção "Percepção externa"); src/components/response-for</t>
        </is>
      </c>
    </row>
    <row r="139">
      <c r="A139" s="9" t="n">
        <v>138</v>
      </c>
      <c r="B139" s="9" t="inlineStr">
        <is>
          <t>BUG crítico: duplicar teste gerava dimensão órfã</t>
        </is>
      </c>
      <c r="C139" s="9" t="inlineStr">
        <is>
          <t>duplicateTemplate não remapeava config.dimension_id; o Big Five duplicado zerava tudo e o relatório lia 0 como 'baixo'.</t>
        </is>
      </c>
      <c r="D139" s="9" t="inlineStr">
        <is>
          <t>Testes</t>
        </is>
      </c>
      <c r="E139" s="9" t="inlineStr">
        <is>
          <t>Concluído</t>
        </is>
      </c>
      <c r="F139" s="9" t="n">
        <v>138</v>
      </c>
      <c r="G139" s="9" t="inlineStr">
        <is>
          <t>Claude</t>
        </is>
      </c>
      <c r="H139" s="9" t="inlineStr">
        <is>
          <t>bug-duplicar-dimension-orfa.md</t>
        </is>
      </c>
      <c r="I139" s="9" t="inlineStr">
        <is>
          <t>Conferido: src/lib/tests.functions.ts:167-179 (helper remapQuestionConfig reescreve config.dimension_id via dimMap e zera quando não há correspondência, em vez de manter id de outra versão) a</t>
        </is>
      </c>
    </row>
    <row r="140">
      <c r="A140" s="9" t="n">
        <v>139</v>
      </c>
      <c r="B140" s="9" t="inlineStr">
        <is>
          <t>BUG: policy de SELECT autorreferente quebra INSERT</t>
        </is>
      </c>
      <c r="C140" s="9" t="inlineStr">
        <is>
          <t>Quatro aparições (learning_tracks, groups, community_posts, community_post_groups); corrigido na migração 20260729010000.</t>
        </is>
      </c>
      <c r="D140" s="9" t="inlineStr">
        <is>
          <t>Infra</t>
        </is>
      </c>
      <c r="E140" s="9" t="inlineStr">
        <is>
          <t>Concluído</t>
        </is>
      </c>
      <c r="F140" s="9" t="n">
        <v>139</v>
      </c>
      <c r="G140" s="9" t="inlineStr">
        <is>
          <t>Claude</t>
        </is>
      </c>
      <c r="H140" s="9" t="inlineStr">
        <is>
          <t>bug-policy-autoreferente-insert-returning.md</t>
        </is>
      </c>
      <c r="I140" s="9" t="inlineStr">
        <is>
          <t>Varredura completa do Claude Code, 03/08 (11 áreas, 237 demandas), cruzada com a varredura independente do chat. O conserto continua válido; só o nome do artefato citado mudou em renomeações posteriores.</t>
        </is>
      </c>
    </row>
    <row r="141">
      <c r="A141" s="9" t="n">
        <v>140</v>
      </c>
      <c r="B141" s="9" t="inlineStr">
        <is>
          <t>Bateria de testes com link único</t>
        </is>
      </c>
      <c r="C141" s="9" t="inlineStr">
        <is>
          <t>Vários inventários enviados num link só (assessment_responses), com relatório unificado no fim.</t>
        </is>
      </c>
      <c r="D141" s="9" t="inlineStr">
        <is>
          <t>Testes</t>
        </is>
      </c>
      <c r="E141" s="9" t="inlineStr">
        <is>
          <t>Concluído</t>
        </is>
      </c>
      <c r="F141" s="9" t="n">
        <v>140</v>
      </c>
      <c r="G141" s="9" t="inlineStr">
        <is>
          <t>Claude</t>
        </is>
      </c>
      <c r="H141" s="9" t="inlineStr">
        <is>
          <t>CLAUDE.md § Estado atual · git log 4a62680</t>
        </is>
      </c>
      <c r="I141" s="9" t="inlineStr">
        <is>
          <t>Conferido: src/routes/bateria.$assessmentId.tsx + src/routes/api.public.assessment.$id.ts + startAssessment em src/lib/tests.functions.ts:579-660 + geração pelo link aberto em src/routes/api.</t>
        </is>
      </c>
    </row>
    <row r="142">
      <c r="A142" s="9" t="n">
        <v>141</v>
      </c>
      <c r="B142" s="9" t="inlineStr">
        <is>
          <t>Big Five reescrito com 50 itens</t>
        </is>
      </c>
      <c r="C142" s="9" t="inlineStr">
        <is>
          <t>10 itens por traço, metade invertidos, com pares de checagem — o conjunto anterior era todo positivo e inflava os cinco traços.</t>
        </is>
      </c>
      <c r="D142" s="9" t="inlineStr">
        <is>
          <t>Conteúdo</t>
        </is>
      </c>
      <c r="E142" s="9" t="inlineStr">
        <is>
          <t>Concluído</t>
        </is>
      </c>
      <c r="F142" s="9" t="n">
        <v>141</v>
      </c>
      <c r="G142" s="9" t="inlineStr">
        <is>
          <t>Claude</t>
        </is>
      </c>
      <c r="H142" s="9" t="inlineStr">
        <is>
          <t>git log 1eed990</t>
        </is>
      </c>
      <c r="I142" s="9" t="inlineStr">
        <is>
          <t>Varredura completa do Claude Code, 03/08 (11 áreas, 237 demandas), cruzada com a varredura independente do chat. Tudo bate, exceto a contagem: a prova diz 19 pares de checagem, o real é 18.</t>
        </is>
      </c>
    </row>
    <row r="143">
      <c r="A143" s="9" t="n">
        <v>142</v>
      </c>
      <c r="B143" s="9" t="inlineStr">
        <is>
          <t>Bloco 'o que ficou combinado na devolutiva anterior'</t>
        </is>
      </c>
      <c r="C143" s="9" t="inlineStr">
        <is>
          <t>Puxado do registro da devolutiva anterior, dentro do painel de resultados.</t>
        </is>
      </c>
      <c r="D143" s="9" t="inlineStr">
        <is>
          <t>Relatórios</t>
        </is>
      </c>
      <c r="E143" s="9" t="inlineStr">
        <is>
          <t>Concluído</t>
        </is>
      </c>
      <c r="F143" s="9" t="n">
        <v>142</v>
      </c>
      <c r="G143" s="9" t="inlineStr">
        <is>
          <t>Claude</t>
        </is>
      </c>
      <c r="H143" s="9" t="inlineStr">
        <is>
          <t>docs/plano-painel-devolutiva.md § 4 Fase 1</t>
        </is>
      </c>
      <c r="I143" s="9" t="inlineStr">
        <is>
          <t>Varredura completa do Claude Code, 03/08 (11 áreas, 237 demandas), cruzada com a varredura independente do chat. ÓRFÃ: o objeto desta demanda (o painel de devolutiva) foi apagado em 31/07, quando o menu Mentorias substituiu Devolutivas. Não há mais o que fazer nem o que decidir. Registro mantido para o histórico não mentir sobre o que já foi planejado.</t>
        </is>
      </c>
    </row>
    <row r="144">
      <c r="A144" s="9" t="n">
        <v>143</v>
      </c>
      <c r="B144" s="9" t="inlineStr">
        <is>
          <t>Bug do fuso ao remarcar devolutiva</t>
        </is>
      </c>
      <c r="C144" s="9" t="inlineStr">
        <is>
          <t>Remarcar mexendo só no dia movia o compromisso 3 horas; dado errado e calado num campo de uso semanal.</t>
        </is>
      </c>
      <c r="D144" s="9" t="inlineStr">
        <is>
          <t>Agenda</t>
        </is>
      </c>
      <c r="E144" s="9" t="inlineStr">
        <is>
          <t>Concluído</t>
        </is>
      </c>
      <c r="F144" s="9" t="n">
        <v>143</v>
      </c>
      <c r="G144" s="9" t="inlineStr">
        <is>
          <t>Claude</t>
        </is>
      </c>
      <c r="H144" s="9" t="inlineStr">
        <is>
          <t>docs/plano-demandas-30-07.md § Decisões, item 5 · estado-atual-e-fila.md § O que fazer a seguir · git log 120d</t>
        </is>
      </c>
      <c r="I144" s="9" t="inlineStr">
        <is>
          <t>Varredura completa do Claude Code, 03/08 (11 áreas, 237 demandas), cruzada com a varredura independente do chat. ÓRFÃ: o objeto desta demanda (a tela que usava a correção de fuso) foi apagado em 31/07, quando o menu Mentorias substituiu Devolutivas. Não há mais o que fazer nem o que decidir. Registro mantido para o histórico não mentir sobre o que já foi planejado.</t>
        </is>
      </c>
    </row>
    <row r="145">
      <c r="A145" s="9" t="n">
        <v>144</v>
      </c>
      <c r="B145" s="9" t="inlineStr">
        <is>
          <t>Cadastro pelo link para quem chega sem conta</t>
        </is>
      </c>
      <c r="C145" s="9" t="inlineStr">
        <is>
          <t>Quem recebe o link e não tem conta cria uma (nome, telefone, e-mail e senha); o cadastro é oferecido no fim do teste.</t>
        </is>
      </c>
      <c r="D145" s="9" t="inlineStr">
        <is>
          <t>Infra</t>
        </is>
      </c>
      <c r="E145" s="9" t="inlineStr">
        <is>
          <t>Concluído</t>
        </is>
      </c>
      <c r="F145" s="9" t="n">
        <v>144</v>
      </c>
      <c r="G145" s="9" t="inlineStr">
        <is>
          <t>Claude</t>
        </is>
      </c>
      <c r="H145" s="9" t="inlineStr">
        <is>
          <t>docs/plano-area-do-aluno.md § 1 item 1 · fila-area-do-aluno.md tabela linha 18 · git log 7376374</t>
        </is>
      </c>
      <c r="I145" s="9" t="inlineStr">
        <is>
          <t>Conferido: /Users/matheusguedescarneiro/Documents/persona-compass-suite/src/components/criar-conta-no-fim.tsx (campos nome e telefone, e-mail mascarado vindo do link) + src/lib/acesso-aluno.f</t>
        </is>
      </c>
    </row>
    <row r="146">
      <c r="A146" s="9" t="n">
        <v>145</v>
      </c>
      <c r="B146" s="9" t="inlineStr">
        <is>
          <t>Cancelar e excluir um envio</t>
        </is>
      </c>
      <c r="C146" s="9" t="inlineStr">
        <is>
          <t>Cancelar derruba o link mantendo o registro; excluir apaga tudo, com aviso do que se perde.</t>
        </is>
      </c>
      <c r="D146" s="9" t="inlineStr">
        <is>
          <t>Testes</t>
        </is>
      </c>
      <c r="E146" s="9" t="inlineStr">
        <is>
          <t>Concluído</t>
        </is>
      </c>
      <c r="F146" s="9" t="n">
        <v>145</v>
      </c>
      <c r="G146" s="9" t="inlineStr">
        <is>
          <t>Claude</t>
        </is>
      </c>
      <c r="H146" s="9" t="inlineStr">
        <is>
          <t>git log e14617c</t>
        </is>
      </c>
      <c r="I146" s="9" t="inlineStr">
        <is>
          <t>Conferido: src/components/acoes-do-envio.tsx (Cancelar reversível no menu, Excluir atrás de AlertDialog com aviso agravado quando já foi respondido) + src/lib/tests.functions.ts (as duas serv</t>
        </is>
      </c>
    </row>
    <row r="147">
      <c r="A147" s="9" t="n">
        <v>146</v>
      </c>
      <c r="B147" s="9" t="inlineStr">
        <is>
          <t>Classroom etapa 1 — estrutura treinamento/módulo/aula</t>
        </is>
      </c>
      <c r="C147" s="9" t="inlineStr">
        <is>
          <t>Cinco tabelas próprias (treinamento, módulo, aula, material e grupos com acesso) e a regra de quem enxerga o quê.</t>
        </is>
      </c>
      <c r="D147" s="9" t="inlineStr">
        <is>
          <t>Classroom</t>
        </is>
      </c>
      <c r="E147" s="9" t="inlineStr">
        <is>
          <t>Concluído</t>
        </is>
      </c>
      <c r="F147" s="9" t="n">
        <v>146</v>
      </c>
      <c r="G147" s="9" t="inlineStr">
        <is>
          <t>Claude</t>
        </is>
      </c>
      <c r="H147" s="9" t="inlineStr">
        <is>
          <t>docs/analise-classroom.md § Plano por etapas, etapa 1 · git log ef37965</t>
        </is>
      </c>
      <c r="I147" s="9" t="inlineStr">
        <is>
          <t>Conferido: supabase/migrations/20260730140000_classroom.sql — as cinco tabelas (treinamentos l.8, treinamento_modulos l.19, treinamento_aulas l.26, treinamento_materiais l.42, treinamento_gru</t>
        </is>
      </c>
    </row>
    <row r="148">
      <c r="A148" s="9" t="n">
        <v>147</v>
      </c>
      <c r="B148" s="9" t="inlineStr">
        <is>
          <t>Classroom etapa 2 — menu do master com CRUD</t>
        </is>
      </c>
      <c r="C148" s="9" t="inlineStr">
        <is>
          <t>Item Classroom na barra do dono, catálogo Publicados/Rascunhos e ficha do treinamento com data, horário, local, materiais e anotações.</t>
        </is>
      </c>
      <c r="D148" s="9" t="inlineStr">
        <is>
          <t>Classroom</t>
        </is>
      </c>
      <c r="E148" s="9" t="inlineStr">
        <is>
          <t>Concluído</t>
        </is>
      </c>
      <c r="F148" s="9" t="n">
        <v>147</v>
      </c>
      <c r="G148" s="9" t="inlineStr">
        <is>
          <t>Claude</t>
        </is>
      </c>
      <c r="H148" s="9" t="inlineStr">
        <is>
          <t>docs/analise-classroom.md § Plano por etapas, etapa 2 · estado-atual-e-fila.md § Classroom · git log 4f39471</t>
        </is>
      </c>
      <c r="I148" s="9" t="inlineStr">
        <is>
          <t>Conferido: src/components/app-sidebar.tsx:37 (item Classroom com soDono:true); src/routes/_app.classroom.index.tsx e _app.classroom.$treinamentoId.tsx; src/components/classroom-catalog.tsx (c</t>
        </is>
      </c>
    </row>
    <row r="149">
      <c r="A149" s="9" t="n">
        <v>148</v>
      </c>
      <c r="B149" s="9" t="inlineStr">
        <is>
          <t>Classroom etapa 3 — menu do aluno por grupo</t>
        </is>
      </c>
      <c r="C149" s="9" t="inlineStr">
        <is>
          <t>O aluno vê no painel só a trilha liberada para os grupos dele.</t>
        </is>
      </c>
      <c r="D149" s="9" t="inlineStr">
        <is>
          <t>Classroom</t>
        </is>
      </c>
      <c r="E149" s="9" t="inlineStr">
        <is>
          <t>Concluído</t>
        </is>
      </c>
      <c r="F149" s="9" t="n">
        <v>148</v>
      </c>
      <c r="G149" s="9" t="inlineStr">
        <is>
          <t>Claude</t>
        </is>
      </c>
      <c r="H149" s="9" t="inlineStr">
        <is>
          <t>docs/analise-classroom.md § Plano por etapas, etapa 3 · git log f13e284</t>
        </is>
      </c>
      <c r="I149" s="9" t="inlineStr">
        <is>
          <t>Conferido: src/routes/aluno.classroom.index.tsx e aluno.classroom.$treinamentoId.tsx; item na barra do aluno em src/routes/aluno.tsx:45; o recorte é da RLS, no ramo do aluno de posso_ver_trei</t>
        </is>
      </c>
    </row>
    <row r="150">
      <c r="A150" s="9" t="n">
        <v>149</v>
      </c>
      <c r="B150" s="9" t="inlineStr">
        <is>
          <t>Classroom etapa 4 — check-in por QR rotativo</t>
        </is>
      </c>
      <c r="C150" s="9" t="inlineStr">
        <is>
          <t>QR que muda a cada minuto com contador ao vivo, janela de validade, passe assinado de uso único e pré-voo de quem não tem senha.</t>
        </is>
      </c>
      <c r="D150" s="9" t="inlineStr">
        <is>
          <t>Classroom</t>
        </is>
      </c>
      <c r="E150" s="9" t="inlineStr">
        <is>
          <t>Concluído</t>
        </is>
      </c>
      <c r="F150" s="9" t="n">
        <v>149</v>
      </c>
      <c r="G150" s="9" t="inlineStr">
        <is>
          <t>Claude</t>
        </is>
      </c>
      <c r="H150" s="9" t="inlineStr">
        <is>
          <t>docs/analise-classroom.md § Plano por etapas, etapa 4 · estado-atual-e-fila.md § Check-in · git log 307c161 ·</t>
        </is>
      </c>
      <c r="I150" s="9" t="inlineStr">
        <is>
          <t>Conferido: src/lib/checkin.server.ts (BUCKET_SEGUNDOS=60, TOLERANCIA_BUCKETS=1, codigoDaAula por HMAC, passe assinado); src/components/checkin-professor.tsx (setInterval de 1s l.120, QRCode p</t>
        </is>
      </c>
    </row>
    <row r="151">
      <c r="A151" s="9" t="n">
        <v>150</v>
      </c>
      <c r="B151" s="9" t="inlineStr">
        <is>
          <t>Classroom etapa 5 — lista de presença com exportação</t>
        </is>
      </c>
      <c r="C151" s="9" t="inlineStr">
        <is>
          <t>As nove colunas aprovadas, marcação manual pelo professor, resumo por aluno, fechamento da aula e exportação em Excel e PDF.</t>
        </is>
      </c>
      <c r="D151" s="9" t="inlineStr">
        <is>
          <t>Classroom</t>
        </is>
      </c>
      <c r="E151" s="9" t="inlineStr">
        <is>
          <t>Concluído</t>
        </is>
      </c>
      <c r="F151" s="9" t="n">
        <v>150</v>
      </c>
      <c r="G151" s="9" t="inlineStr">
        <is>
          <t>Claude</t>
        </is>
      </c>
      <c r="H151" s="9" t="inlineStr">
        <is>
          <t>docs/analise-classroom.md § Plano por etapas, etapa 5 e § A tabela de presença · docs/analise-classroom.md § E</t>
        </is>
      </c>
      <c r="I151" s="9" t="inlineStr">
        <is>
          <t>Conferido: src/components/lista-de-presenca.tsx — as nove colunas exatas no &lt;thead&gt; l.212-220 (Aluno, Grupo, Chegada, Como foi registrada, Atraso, Situação, Frequência até esta aula, Observaç</t>
        </is>
      </c>
    </row>
    <row r="152">
      <c r="A152" s="9" t="n">
        <v>151</v>
      </c>
      <c r="B152" s="9" t="inlineStr">
        <is>
          <t>Classroom etapa 6 — presença valendo ponto</t>
        </is>
      </c>
      <c r="C152" s="9" t="inlineStr">
        <is>
          <t>Ação 'presenca' (20 pts) lançada no fechamento da lista, com ✅ verde na aula e 'você esteve em X de Y encontros'.</t>
        </is>
      </c>
      <c r="D152" s="9" t="inlineStr">
        <is>
          <t>Classroom</t>
        </is>
      </c>
      <c r="E152" s="9" t="inlineStr">
        <is>
          <t>Concluído</t>
        </is>
      </c>
      <c r="F152" s="9" t="n">
        <v>151</v>
      </c>
      <c r="G152" s="9" t="inlineStr">
        <is>
          <t>Claude</t>
        </is>
      </c>
      <c r="H152" s="9" t="inlineStr">
        <is>
          <t>docs/analise-classroom.md § Plano por etapas, etapa 6 · estado-atual-e-fila.md § Pontos · git log f665b79</t>
        </is>
      </c>
      <c r="I152" s="9" t="inlineStr">
        <is>
          <t>Conferido: src/lib/pontos.functions.ts:19 (presenca: 20 pts, rótulo 'Participar de um encontro presencial', sem teto diário); supabase/migrations/20260730180000_classroom_pontos.sql (ALTER do</t>
        </is>
      </c>
    </row>
    <row r="153">
      <c r="A153" s="9" t="n">
        <v>152</v>
      </c>
      <c r="B153" s="9" t="inlineStr">
        <is>
          <t>Comunidade por grupo, uma publicação em vários grupos</t>
        </is>
      </c>
      <c r="C153" s="9" t="inlineStr">
        <is>
          <t>Feed com texto, imagem, PDF, link, curtidas e comentários; o post pertence a vários grupos e quem está em mais de um vê tudo junto.</t>
        </is>
      </c>
      <c r="D153" s="9" t="inlineStr">
        <is>
          <t>Comunidade</t>
        </is>
      </c>
      <c r="E153" s="9" t="inlineStr">
        <is>
          <t>Concluído</t>
        </is>
      </c>
      <c r="F153" s="9" t="n">
        <v>152</v>
      </c>
      <c r="G153" s="9" t="inlineStr">
        <is>
          <t>Claude</t>
        </is>
      </c>
      <c r="H153" s="9" t="inlineStr">
        <is>
          <t>docs/plano-area-do-aluno.md § 3 · fila-area-do-aluno.md tabela linha 19 · git log 2088cd1 · git log 67037b9</t>
        </is>
      </c>
      <c r="I153" s="9" t="inlineStr">
        <is>
          <t>Conferido: supabase/migrations/20260729190000_comunidade_multi_grupo.sql (tabela `community_post_groups`) + 20260729180000_comunidade.sql + /Users/matheusguedescarneiro/Documents/persona-comp</t>
        </is>
      </c>
    </row>
    <row r="154">
      <c r="A154" s="9" t="n">
        <v>153</v>
      </c>
      <c r="B154" s="9" t="inlineStr">
        <is>
          <t>DNA do grupo</t>
        </is>
      </c>
      <c r="C154" s="9" t="inlineStr">
        <is>
          <t>Média real por dimensão entre os membros, separada por instrumento, agregando por key, com aviso de amostra menor que 3.</t>
        </is>
      </c>
      <c r="D154" s="9" t="inlineStr">
        <is>
          <t>Relatórios</t>
        </is>
      </c>
      <c r="E154" s="9" t="inlineStr">
        <is>
          <t>Concluído</t>
        </is>
      </c>
      <c r="F154" s="9" t="n">
        <v>153</v>
      </c>
      <c r="G154" s="9" t="inlineStr">
        <is>
          <t>Claude</t>
        </is>
      </c>
      <c r="H154" s="9" t="inlineStr">
        <is>
          <t>feature-dna-do-grupo.md · git log cbbf9d3</t>
        </is>
      </c>
      <c r="I154" s="9" t="inlineStr">
        <is>
          <t>Conferido: src/lib/data.functions.ts:486 (getGroupDna) + src/routes/_app.grupos.$id.tsx:440 (componente GroupDna) + commit cbbf9d3. Agrega por `key` da dimensão, um bloco por instrumento, e o</t>
        </is>
      </c>
    </row>
    <row r="155">
      <c r="A155" s="9" t="n">
        <v>154</v>
      </c>
      <c r="B155" s="9" t="inlineStr">
        <is>
          <t>Dashboard com indicador de todos os menus</t>
        </is>
      </c>
      <c r="C155" s="9" t="inlineStr">
        <is>
          <t>Frases de operação ('3 pessoas esperando devolutiva, a mais antiga há 12 dias') e ranking geral, em vez de números soltos.</t>
        </is>
      </c>
      <c r="D155" s="9" t="inlineStr">
        <is>
          <t>Plataforma</t>
        </is>
      </c>
      <c r="E155" s="9" t="inlineStr">
        <is>
          <t>Concluído</t>
        </is>
      </c>
      <c r="F155" s="9" t="n">
        <v>154</v>
      </c>
      <c r="G155" s="9" t="inlineStr">
        <is>
          <t>Claude</t>
        </is>
      </c>
      <c r="H155" s="9" t="inlineStr">
        <is>
          <t>fila-area-do-aluno.md linhas 25-28 · git log e022d1b</t>
        </is>
      </c>
      <c r="I155" s="9" t="inlineStr">
        <is>
          <t>Conferido: src/routes/_app.index.tsx:224-270 (os "recados", incluindo "a mais antiga espera há N dias") e :353 (ranking) + src/lib/painel.functions.ts:96-150; commit e022d1b</t>
        </is>
      </c>
    </row>
    <row r="156">
      <c r="A156" s="9" t="n">
        <v>155</v>
      </c>
      <c r="B156" s="9" t="inlineStr">
        <is>
          <t>Dashboard do grupo</t>
        </is>
      </c>
      <c r="C156" s="9" t="inlineStr">
        <is>
          <t>Tela do grupo com os indicadores dele, separada do painel geral.</t>
        </is>
      </c>
      <c r="D156" s="9" t="inlineStr">
        <is>
          <t>Plataforma</t>
        </is>
      </c>
      <c r="E156" s="9" t="inlineStr">
        <is>
          <t>Concluído</t>
        </is>
      </c>
      <c r="F156" s="9" t="n">
        <v>155</v>
      </c>
      <c r="G156" s="9" t="inlineStr">
        <is>
          <t>Claude</t>
        </is>
      </c>
      <c r="H156" s="9" t="inlineStr">
        <is>
          <t>git log 325e478</t>
        </is>
      </c>
      <c r="I156" s="9" t="inlineStr">
        <is>
          <t>Conferido: src/routes/_app.grupos.$id.tsx (556 linhas; o bloco "DNA do grupo" com média por dimensão separada por instrumento está em ~436-500); commit 325e478</t>
        </is>
      </c>
    </row>
    <row r="157">
      <c r="A157" s="9" t="n">
        <v>156</v>
      </c>
      <c r="B157" s="9" t="inlineStr">
        <is>
          <t>Dashboard e catálogo de instrumentos</t>
        </is>
      </c>
      <c r="C157" s="9" t="inlineStr">
        <is>
          <t>Primeira versão: painel inicial do mentor e catálogo dos testes disponíveis.</t>
        </is>
      </c>
      <c r="D157" s="9" t="inlineStr">
        <is>
          <t>Plataforma</t>
        </is>
      </c>
      <c r="E157" s="9" t="inlineStr">
        <is>
          <t>Concluído</t>
        </is>
      </c>
      <c r="F157" s="9" t="n">
        <v>156</v>
      </c>
      <c r="G157" s="9" t="inlineStr">
        <is>
          <t>Claude</t>
        </is>
      </c>
      <c r="H157" s="9" t="inlineStr">
        <is>
          <t>git log 36a918e</t>
        </is>
      </c>
      <c r="I157" s="9" t="inlineStr">
        <is>
          <t>Conferido: src/routes/_app.index.tsx (painel) + src/routes/_app.testes.index.tsx (catálogo, consome listInstruments de src/lib/data.functions.ts); commit 36a918e</t>
        </is>
      </c>
    </row>
    <row r="158">
      <c r="A158" s="9" t="n">
        <v>157</v>
      </c>
      <c r="B158" s="9" t="inlineStr">
        <is>
          <t>Derivações do DISC no relatório</t>
        </is>
      </c>
      <c r="C158" s="9" t="inlineStr">
        <is>
          <t>Estilos de liderança, competências, índices e tipos psicológicos derivados do DISC.</t>
        </is>
      </c>
      <c r="D158" s="9" t="inlineStr">
        <is>
          <t>Relatórios</t>
        </is>
      </c>
      <c r="E158" s="9" t="inlineStr">
        <is>
          <t>Concluído</t>
        </is>
      </c>
      <c r="F158" s="9" t="n">
        <v>157</v>
      </c>
      <c r="G158" s="9" t="inlineStr">
        <is>
          <t>Claude</t>
        </is>
      </c>
      <c r="H158" s="9" t="inlineStr">
        <is>
          <t>git log 14d3d29 · CLAUDE.md § Relatórios</t>
        </is>
      </c>
      <c r="I158" s="9" t="inlineStr">
        <is>
          <t>Conferido: src/lib/derivations.ts (218 linhas: DEFAULT_JUNG, DEFAULT_INDICES, COMPETENCIAS, LEADERSHIP_STYLES, computeDerived, JUNG_BULLETS, indexPhrase) + consumo em src/lib/report.server.ts</t>
        </is>
      </c>
    </row>
    <row r="159">
      <c r="A159" s="9" t="n">
        <v>158</v>
      </c>
      <c r="B159" s="9" t="inlineStr">
        <is>
          <t>Devolutiva no painel do aluno e agendamento avulso</t>
        </is>
      </c>
      <c r="C159" s="9" t="inlineStr">
        <is>
          <t>O avaliado passa a ver a própria devolutiva, e o mentor consegue agendar uma fora da fila.</t>
        </is>
      </c>
      <c r="D159" s="9" t="inlineStr">
        <is>
          <t>Agenda</t>
        </is>
      </c>
      <c r="E159" s="9" t="inlineStr">
        <is>
          <t>Concluído</t>
        </is>
      </c>
      <c r="F159" s="9" t="n">
        <v>158</v>
      </c>
      <c r="G159" s="9" t="inlineStr">
        <is>
          <t>Claude</t>
        </is>
      </c>
      <c r="H159" s="9" t="inlineStr">
        <is>
          <t>git log 880c2bd</t>
        </is>
      </c>
      <c r="I159" s="9" t="inlineStr">
        <is>
          <t>Varredura completa do Claude Code, 03/08 (11 áreas, 237 demandas), cruzada com a varredura independente do chat. ÓRFÃ: o objeto desta demanda (a tela de devolutiva no painel do aluno) foi apagado em 31/07, quando o menu Mentorias substituiu Devolutivas. Não há mais o que fazer nem o que decidir. Registro mantido para o histórico não mentir sobre o que já foi planejado.</t>
        </is>
      </c>
    </row>
    <row r="160">
      <c r="A160" s="9" t="n">
        <v>159</v>
      </c>
      <c r="B160" s="9" t="inlineStr">
        <is>
          <t>Disparo de testes para o grupo inteiro</t>
        </is>
      </c>
      <c r="C160" s="9" t="inlineStr">
        <is>
          <t>A aba 'Testes liberados' virou botão 'Enviar para o grupo', pré-marcando membros e testes liberados.</t>
        </is>
      </c>
      <c r="D160" s="9" t="inlineStr">
        <is>
          <t>Testes</t>
        </is>
      </c>
      <c r="E160" s="9" t="inlineStr">
        <is>
          <t>Concluído</t>
        </is>
      </c>
      <c r="F160" s="9" t="n">
        <v>159</v>
      </c>
      <c r="G160" s="9" t="inlineStr">
        <is>
          <t>Claude</t>
        </is>
      </c>
      <c r="H160" s="9" t="inlineStr">
        <is>
          <t>roadmap-proximas-features.md item 8 · git log 4d4873e</t>
        </is>
      </c>
      <c r="I160" s="9" t="inlineStr">
        <is>
          <t>Conferido: src/routes/_app.grupos.$id.tsx:205-220 (bloco "Enviar para todo o grupo" com botão que leva a /envios/novo?groupId=, desabilitado sem pessoas ou sem testes) + src/routes/_app.envio</t>
        </is>
      </c>
    </row>
    <row r="161">
      <c r="A161" s="9" t="n">
        <v>160</v>
      </c>
      <c r="B161" s="9" t="inlineStr">
        <is>
          <t>Dois defeitos do check-in (embed sem FK e RLS)</t>
        </is>
      </c>
      <c r="C161" s="9" t="inlineStr">
        <is>
          <t>treinamento_grupos não embeda group_members, e o maybeSingle estourava para o professor porque a policy entrega a lista inteira.</t>
        </is>
      </c>
      <c r="D161" s="9" t="inlineStr">
        <is>
          <t>Classroom</t>
        </is>
      </c>
      <c r="E161" s="9" t="inlineStr">
        <is>
          <t>Concluído</t>
        </is>
      </c>
      <c r="F161" s="9" t="n">
        <v>160</v>
      </c>
      <c r="G161" s="9" t="inlineStr">
        <is>
          <t>Claude</t>
        </is>
      </c>
      <c r="H161" s="9" t="inlineStr">
        <is>
          <t>postgrest-embed-e-rls-recorte.md</t>
        </is>
      </c>
      <c r="I161" s="9" t="inlineStr">
        <is>
          <t>Conferido: commit 4b5cfe6 ('o vínculo de grupo em dois passos, não por join aninhado' — treinamento_grupos e group_members não têm FK entre si, o PostgREST recusava o embed e o confirmar morr</t>
        </is>
      </c>
    </row>
    <row r="162">
      <c r="A162" s="9" t="n">
        <v>161</v>
      </c>
      <c r="B162" s="9" t="inlineStr">
        <is>
          <t>Editar, duplicar e excluir modelos de teste</t>
        </is>
      </c>
      <c r="C162" s="9" t="inlineStr">
        <is>
          <t>Os modelos passam a pertencer à conta, então dá para editar e não só duplicar; um teste por inventário no envio.</t>
        </is>
      </c>
      <c r="D162" s="9" t="inlineStr">
        <is>
          <t>Testes</t>
        </is>
      </c>
      <c r="E162" s="9" t="inlineStr">
        <is>
          <t>Concluído</t>
        </is>
      </c>
      <c r="F162" s="9" t="n">
        <v>161</v>
      </c>
      <c r="G162" s="9" t="inlineStr">
        <is>
          <t>Claude</t>
        </is>
      </c>
      <c r="H162" s="9" t="inlineStr">
        <is>
          <t>git log d3c5480</t>
        </is>
      </c>
      <c r="I162" s="9" t="inlineStr">
        <is>
          <t>Conferido: supabase/migrations/20260729030000_testes_passam_a_ser_do_mentor.sql + src/lib/tests.functions.ts (duplicateTemplate, deleteTestVersion) + src/routes/_app.testes.index.tsx (as três</t>
        </is>
      </c>
    </row>
    <row r="163">
      <c r="A163" s="9" t="n">
        <v>162</v>
      </c>
      <c r="B163" s="9" t="inlineStr">
        <is>
          <t>Editor de testes e página pública de resposta</t>
        </is>
      </c>
      <c r="C163" s="9" t="inlineStr">
        <is>
          <t>Montar/editar um inventário e o link público onde a pessoa responde sem conta.</t>
        </is>
      </c>
      <c r="D163" s="9" t="inlineStr">
        <is>
          <t>Testes</t>
        </is>
      </c>
      <c r="E163" s="9" t="inlineStr">
        <is>
          <t>Concluído</t>
        </is>
      </c>
      <c r="F163" s="9" t="n">
        <v>162</v>
      </c>
      <c r="G163" s="9" t="inlineStr">
        <is>
          <t>Claude</t>
        </is>
      </c>
      <c r="H163" s="9" t="inlineStr">
        <is>
          <t>git log 4830c68</t>
        </is>
      </c>
      <c r="I163" s="9" t="inlineStr">
        <is>
          <t>Conferido: src/routes/_app.testes.$versionId.editar.tsx (474 linhas) + src/routes/responder.$responseId.tsx (138) + src/components/response-form.tsx + endpoint público src/routes/api.public.r</t>
        </is>
      </c>
    </row>
    <row r="164">
      <c r="A164" s="9" t="n">
        <v>163</v>
      </c>
      <c r="B164" s="9" t="inlineStr">
        <is>
          <t>Educação vira Academy</t>
        </is>
      </c>
      <c r="C164" s="9" t="inlineStr">
        <is>
          <t>Item J: troca só do rótulo do menu; as rotas continuam /educacao para não quebrar links já enviados.</t>
        </is>
      </c>
      <c r="D164" s="9" t="inlineStr">
        <is>
          <t>Academy</t>
        </is>
      </c>
      <c r="E164" s="9" t="inlineStr">
        <is>
          <t>Concluído</t>
        </is>
      </c>
      <c r="F164" s="9" t="n">
        <v>163</v>
      </c>
      <c r="G164" s="9" t="inlineStr">
        <is>
          <t>Claude</t>
        </is>
      </c>
      <c r="H164" s="9" t="inlineStr">
        <is>
          <t>docs/plano-demandas-30-07.md § item J · git log bc3a32c</t>
        </is>
      </c>
      <c r="I164" s="9" t="inlineStr">
        <is>
          <t>Conferido: /Users/matheusguedescarneiro/Documents/persona-compass-suite/src/components/app-sidebar.tsx:34 (`{ to: "/educacao", label: "Academy" }`) e src/routes/aluno.tsx:44 (`{ to: "/aluno/e</t>
        </is>
      </c>
    </row>
    <row r="165">
      <c r="A165" s="9" t="n">
        <v>164</v>
      </c>
      <c r="B165" s="9" t="inlineStr">
        <is>
          <t>Enviar convite por e-mail dentro do fluxo de envio</t>
        </is>
      </c>
      <c r="C165" s="9" t="inlineStr">
        <is>
          <t>Opção 'Enviar o convite por email agora' no passo de revisão, avisando quem está sem e-mail cadastrado.</t>
        </is>
      </c>
      <c r="D165" s="9" t="inlineStr">
        <is>
          <t>Testes</t>
        </is>
      </c>
      <c r="E165" s="9" t="inlineStr">
        <is>
          <t>Concluído</t>
        </is>
      </c>
      <c r="F165" s="9" t="n">
        <v>164</v>
      </c>
      <c r="G165" s="9" t="inlineStr">
        <is>
          <t>Claude</t>
        </is>
      </c>
      <c r="H165" s="9" t="inlineStr">
        <is>
          <t>git log 0d860ff</t>
        </is>
      </c>
      <c r="I165" s="9" t="inlineStr">
        <is>
          <t>Conferido: src/routes/_app.envios.novo.tsx:523 (Label "Enviar o convite por email agora" no passo de revisão), :71 e :208 (chamada de sendMentorEmail depois de criar o envio) e :303 (reenvio</t>
        </is>
      </c>
    </row>
    <row r="166">
      <c r="A166" s="9" t="n">
        <v>165</v>
      </c>
      <c r="B166" s="9" t="inlineStr">
        <is>
          <t>Envio de e-mail pelo Resend</t>
        </is>
      </c>
      <c r="C166" s="9" t="inlineStr">
        <is>
          <t>Chamada HTTP direta à API, destinatário e link resolvidos no servidor, email_logs por service role; domínio verificado e enviando.</t>
        </is>
      </c>
      <c r="D166" s="9" t="inlineStr">
        <is>
          <t>Infra</t>
        </is>
      </c>
      <c r="E166" s="9" t="inlineStr">
        <is>
          <t>Concluído</t>
        </is>
      </c>
      <c r="F166" s="9" t="n">
        <v>165</v>
      </c>
      <c r="G166" s="9" t="inlineStr">
        <is>
          <t>Claude</t>
        </is>
      </c>
      <c r="H166" s="9" t="inlineStr">
        <is>
          <t>integracao-resend-email.md · git log ce26127</t>
        </is>
      </c>
      <c r="I166" s="9" t="inlineStr">
        <is>
          <t>Conferido: src/lib/email.server.ts (fetch direto para https://api.resend.com/emails, sem SDK; chave lida de RESEND_API_KEY/APP_RESEND_API_KEY) + src/lib/email.functions.ts (sendMentorEmail re</t>
        </is>
      </c>
    </row>
    <row r="167">
      <c r="A167" s="9" t="n">
        <v>166</v>
      </c>
      <c r="B167" s="9" t="inlineStr">
        <is>
          <t>Estatísticas removida e Dashboard com gráficos reais</t>
        </is>
      </c>
      <c r="C167" s="9" t="inlineStr">
        <is>
          <t>A página /estatisticas era placeholder e saiu; o Dashboard passou a mostrar indicadores de verdade (mostrava 9/7 quando o real era 14/12).</t>
        </is>
      </c>
      <c r="D167" s="9" t="inlineStr">
        <is>
          <t>Relatórios</t>
        </is>
      </c>
      <c r="E167" s="9" t="inlineStr">
        <is>
          <t>Concluído</t>
        </is>
      </c>
      <c r="F167" s="9" t="n">
        <v>166</v>
      </c>
      <c r="G167" s="9" t="inlineStr">
        <is>
          <t>Claude</t>
        </is>
      </c>
      <c r="H167" s="9" t="inlineStr">
        <is>
          <t>roadmap-proximas-features.md item 7 · git log 24bdcf3</t>
        </is>
      </c>
      <c r="I167" s="9" t="inlineStr">
        <is>
          <t>Conferido: src/routes/_app.estatisticas.tsx não existe mais (nenhuma ocorrência de "estatisticas" em src/) + src/lib/data.functions.ts:586 (getDashboardStats) + src/routes/_app.index.tsx:47-1</t>
        </is>
      </c>
    </row>
    <row r="168">
      <c r="A168" s="9" t="n">
        <v>167</v>
      </c>
      <c r="B168" s="9" t="inlineStr">
        <is>
          <t>Evento rico na Agenda com pop-up</t>
        </is>
      </c>
      <c r="C168" s="9" t="inlineStr">
        <is>
          <t>Item D: evento com hora de início e fim, imagem e link externo; clicar abre pop-up com tudo.</t>
        </is>
      </c>
      <c r="D168" s="9" t="inlineStr">
        <is>
          <t>Agenda</t>
        </is>
      </c>
      <c r="E168" s="9" t="inlineStr">
        <is>
          <t>Concluído</t>
        </is>
      </c>
      <c r="F168" s="9" t="n">
        <v>167</v>
      </c>
      <c r="G168" s="9" t="inlineStr">
        <is>
          <t>Claude</t>
        </is>
      </c>
      <c r="H168" s="9" t="inlineStr">
        <is>
          <t>docs/plano-demandas-30-07.md § D · git log bfe9853</t>
        </is>
      </c>
      <c r="I168" s="9" t="inlineStr">
        <is>
          <t>Conferido: supabase/migrations/20260730060000_evento_rico.sql (colunas termina_em, imagem_url, link_url, CHECK evento_fim_depois_do_inicio, bucket `eventos`) + /Users/matheusguedescarneiro/Do</t>
        </is>
      </c>
    </row>
    <row r="169">
      <c r="A169" s="9" t="n">
        <v>168</v>
      </c>
      <c r="B169" s="9" t="inlineStr">
        <is>
          <t>Eventos criados pelo master por pessoa ou grupo</t>
        </is>
      </c>
      <c r="C169" s="9" t="inlineStr">
        <is>
          <t>Live, prazo de turma ou encontro presencial na agenda, direcionados por pessoa ou grupo (N-para-N), com a regra de quem vê no banco.</t>
        </is>
      </c>
      <c r="D169" s="9" t="inlineStr">
        <is>
          <t>Agenda</t>
        </is>
      </c>
      <c r="E169" s="9" t="inlineStr">
        <is>
          <t>Concluído</t>
        </is>
      </c>
      <c r="F169" s="9" t="n">
        <v>168</v>
      </c>
      <c r="G169" s="9" t="inlineStr">
        <is>
          <t>Claude</t>
        </is>
      </c>
      <c r="H169" s="9" t="inlineStr">
        <is>
          <t>docs/plano-menu-gestao.md § Etapa 3 · git log c3fe2ef</t>
        </is>
      </c>
      <c r="I169" s="9" t="inlineStr">
        <is>
          <t>Conferido: supabase/migrations/20260730040000_eventos_da_agenda.sql (tabelas eventos + evento_destinos N-para-N, CHECK destino_e_um_ou_outro, função posso_ver_evento SECURITY DEFINER e polici</t>
        </is>
      </c>
    </row>
    <row r="170">
      <c r="A170" s="9" t="n">
        <v>169</v>
      </c>
      <c r="B170" s="9" t="inlineStr">
        <is>
          <t>Excluir evento pelo pop-up</t>
        </is>
      </c>
      <c r="C170" s="9" t="inlineStr">
        <is>
          <t>Exclusão direto no pop-up, com confirmação avisando que some da agenda de todos e do Google Calendar.</t>
        </is>
      </c>
      <c r="D170" s="9" t="inlineStr">
        <is>
          <t>Agenda</t>
        </is>
      </c>
      <c r="E170" s="9" t="inlineStr">
        <is>
          <t>Concluído</t>
        </is>
      </c>
      <c r="F170" s="9" t="n">
        <v>169</v>
      </c>
      <c r="G170" s="9" t="inlineStr">
        <is>
          <t>Claude</t>
        </is>
      </c>
      <c r="H170" s="9" t="inlineStr">
        <is>
          <t>git log fb1766f</t>
        </is>
      </c>
      <c r="I170" s="9" t="inlineStr">
        <is>
          <t>Conferido: /Users/matheusguedescarneiro/Documents/persona-compass-suite/src/components/agenda.tsx:275-300 (AlertDialog com o texto "some da agenda de todas as pessoas que o receberam — e tamb</t>
        </is>
      </c>
    </row>
    <row r="171">
      <c r="A171" s="9" t="n">
        <v>170</v>
      </c>
      <c r="B171" s="9" t="inlineStr">
        <is>
          <t>Exportar dados em Pessoas (XLSX e PDF)</t>
        </is>
      </c>
      <c r="C171" s="9" t="inlineStr">
        <is>
          <t>Item C: botão Exportar dados ao lado de Importar planilha, com seleção por pessoa ou todas.</t>
        </is>
      </c>
      <c r="D171" s="9" t="inlineStr">
        <is>
          <t>Plataforma</t>
        </is>
      </c>
      <c r="E171" s="9" t="inlineStr">
        <is>
          <t>Concluído</t>
        </is>
      </c>
      <c r="F171" s="9" t="n">
        <v>170</v>
      </c>
      <c r="G171" s="9" t="inlineStr">
        <is>
          <t>Claude</t>
        </is>
      </c>
      <c r="H171" s="9" t="inlineStr">
        <is>
          <t>docs/plano-demandas-30-07.md § C · git log 0cc689a</t>
        </is>
      </c>
      <c r="I171" s="9" t="inlineStr">
        <is>
          <t>Conferido: /Users/matheusguedescarneiro/Documents/persona-compass-suite/src/components/exportar-pessoas.tsx (seleção por pessoa ou "Todas", linhas 37-44 e 120-150; XLSX por import dinâmico de</t>
        </is>
      </c>
    </row>
    <row r="172">
      <c r="A172" s="9" t="n">
        <v>171</v>
      </c>
      <c r="B172" s="9" t="inlineStr">
        <is>
          <t>Fim de teste com escolha em vez de emendar sozinho</t>
        </is>
      </c>
      <c r="C172" s="9" t="inlineStr">
        <is>
          <t>Ao terminar cada teste da bateria, 'fazer o próximo agora' ou 'voltar ao meu painel'.</t>
        </is>
      </c>
      <c r="D172" s="9" t="inlineStr">
        <is>
          <t>Testes</t>
        </is>
      </c>
      <c r="E172" s="9" t="inlineStr">
        <is>
          <t>Concluído</t>
        </is>
      </c>
      <c r="F172" s="9" t="n">
        <v>171</v>
      </c>
      <c r="G172" s="9" t="inlineStr">
        <is>
          <t>Claude</t>
        </is>
      </c>
      <c r="H172" s="9" t="inlineStr">
        <is>
          <t>docs/plano-area-do-aluno.md § 1 item 3 · fila-area-do-aluno.md tabela linha 15 · git log 8d7bdf8</t>
        </is>
      </c>
      <c r="I172" s="9" t="inlineStr">
        <is>
          <t>Conferido: /Users/matheusguedescarneiro/Documents/persona-compass-suite/src/routes/bateria.$assessmentId.tsx:119-131 — botões "Fazer o próximo teste" e "Ir para o meu painel" no bloco de etap</t>
        </is>
      </c>
    </row>
    <row r="173">
      <c r="A173" s="9" t="n">
        <v>172</v>
      </c>
      <c r="B173" s="9" t="inlineStr">
        <is>
          <t>Importar pessoas de planilha</t>
        </is>
      </c>
      <c r="C173" s="9" t="inlineStr">
        <is>
          <t>Subir .xlsx ou .csv com a lista, dentro do grupo ou direto no menu Pessoas.</t>
        </is>
      </c>
      <c r="D173" s="9" t="inlineStr">
        <is>
          <t>Plataforma</t>
        </is>
      </c>
      <c r="E173" s="9" t="inlineStr">
        <is>
          <t>Concluído</t>
        </is>
      </c>
      <c r="F173" s="9" t="n">
        <v>172</v>
      </c>
      <c r="G173" s="9" t="inlineStr">
        <is>
          <t>Claude</t>
        </is>
      </c>
      <c r="H173" s="9" t="inlineStr">
        <is>
          <t>git log 1623126 · git log 79dc81d</t>
        </is>
      </c>
      <c r="I173" s="9" t="inlineStr">
        <is>
          <t>Conferido: src/lib/planilha.ts:104-110 (aceita .xlsx e .csv, recusa .xls com mensagem específica) + src/components/importar-planilha.tsx + montado nos dois lugares: src/routes/_app.grupos.$id</t>
        </is>
      </c>
    </row>
    <row r="174">
      <c r="A174" s="9" t="n">
        <v>173</v>
      </c>
      <c r="B174" s="9" t="inlineStr">
        <is>
          <t>Janela de check-in com margem: 30 min antes, 15 depois</t>
        </is>
      </c>
      <c r="C174" s="9" t="inlineStr">
        <is>
          <t>O professor projeta o QR antes da hora e nenhuma aula começa no minuto cheio.</t>
        </is>
      </c>
      <c r="D174" s="9" t="inlineStr">
        <is>
          <t>Classroom</t>
        </is>
      </c>
      <c r="E174" s="9" t="inlineStr">
        <is>
          <t>Concluído</t>
        </is>
      </c>
      <c r="F174" s="9" t="n">
        <v>173</v>
      </c>
      <c r="G174" s="9" t="inlineStr">
        <is>
          <t>Claude</t>
        </is>
      </c>
      <c r="H174" s="9" t="inlineStr">
        <is>
          <t>docs/analise-classroom.md § O que a etapa 4 decidiu na prática, item 3</t>
        </is>
      </c>
      <c r="I174" s="9" t="inlineStr">
        <is>
          <t>Conferido: src/lib/janela.ts:12-15 — MARGEM_ANTES_MIN = 30 e MARGEM_DEPOIS_MIN = 15, com DURACAO_PADRAO_HORAS = 4 para aula sem fim declarado; janelaDaAula() e dentroDaJanela() usadas nas dua</t>
        </is>
      </c>
    </row>
    <row r="175">
      <c r="A175" s="9" t="n">
        <v>174</v>
      </c>
      <c r="B175" s="9" t="inlineStr">
        <is>
          <t>Kanban de devolutivas em três colunas</t>
        </is>
      </c>
      <c r="C175" s="9" t="inlineStr">
        <is>
          <t>Sem devolutiva (fila calculada), agendada e realizada; o cartão leva para a ação real, arrastar não move nada.</t>
        </is>
      </c>
      <c r="D175" s="9" t="inlineStr">
        <is>
          <t>Agenda</t>
        </is>
      </c>
      <c r="E175" s="9" t="inlineStr">
        <is>
          <t>Concluído</t>
        </is>
      </c>
      <c r="F175" s="9" t="n">
        <v>174</v>
      </c>
      <c r="G175" s="9" t="inlineStr">
        <is>
          <t>Claude</t>
        </is>
      </c>
      <c r="H175" s="9" t="inlineStr">
        <is>
          <t>docs/plano-menu-gestao.md § Etapa 1 · backlog-menu-gestao.md § 2 · git log c734857</t>
        </is>
      </c>
      <c r="I175" s="9" t="inlineStr">
        <is>
          <t>Varredura completa do Claude Code, 03/08 (11 áreas, 237 demandas), cruzada com a varredura independente do chat. ÓRFÃ: o objeto desta demanda (Kanban de devolutivas em 3 colunas) foi apagado em 31/07, quando o menu Mentorias substituiu Devolutivas. Não há mais o que fazer nem o que decidir. Registro mantido para o histórico não mentir sobre o que já foi planejado.</t>
        </is>
      </c>
    </row>
    <row r="176">
      <c r="A176" s="9" t="n">
        <v>175</v>
      </c>
      <c r="B176" s="9" t="inlineStr">
        <is>
          <t>Link aberto compartilhável com limite de respostas</t>
        </is>
      </c>
      <c r="C176" s="9" t="inlineStr">
        <is>
          <t>/convite/$linkId com título, testes, prazo e vagas; claim_invite_link reserva a vaga num único UPDATE.</t>
        </is>
      </c>
      <c r="D176" s="9" t="inlineStr">
        <is>
          <t>Testes</t>
        </is>
      </c>
      <c r="E176" s="9" t="inlineStr">
        <is>
          <t>Concluído</t>
        </is>
      </c>
      <c r="F176" s="9" t="n">
        <v>175</v>
      </c>
      <c r="G176" s="9" t="inlineStr">
        <is>
          <t>Claude</t>
        </is>
      </c>
      <c r="H176" s="9" t="inlineStr">
        <is>
          <t>feature-validade-e-link-aberto.md § Link aberto · git log 93afe99</t>
        </is>
      </c>
      <c r="I176" s="9" t="inlineStr">
        <is>
          <t>Conferido: src/routes/convite.$linkId.tsx (rota pública) + src/routes/api.public.invite.$id.ts:102 (rpc claim_invite_link, com 410 para expirado/esgotado nas linhas 99 e 107) + supabase/migra</t>
        </is>
      </c>
    </row>
    <row r="177">
      <c r="A177" s="9" t="n">
        <v>176</v>
      </c>
      <c r="B177" s="9" t="inlineStr">
        <is>
          <t>Login com Google</t>
        </is>
      </c>
      <c r="C177" s="9" t="inlineStr">
        <is>
          <t>Entrar na plataforma com a conta Google, além de e-mail e senha.</t>
        </is>
      </c>
      <c r="D177" s="9" t="inlineStr">
        <is>
          <t>Infra</t>
        </is>
      </c>
      <c r="E177" s="9" t="inlineStr">
        <is>
          <t>Concluído</t>
        </is>
      </c>
      <c r="F177" s="9" t="n">
        <v>176</v>
      </c>
      <c r="G177" s="9" t="inlineStr">
        <is>
          <t>Claude</t>
        </is>
      </c>
      <c r="H177" s="9" t="inlineStr">
        <is>
          <t>git log 8dbb136</t>
        </is>
      </c>
      <c r="I177" s="9" t="inlineStr">
        <is>
          <t>Conferido: src/routes/auth.tsx:53-76 — supabase.auth.signInWithOAuth({ provider: "google", options: { redirectTo } })</t>
        </is>
      </c>
    </row>
    <row r="178">
      <c r="A178" s="9" t="n">
        <v>177</v>
      </c>
      <c r="B178" s="9" t="inlineStr">
        <is>
          <t>Marca do mentor aplicada (white label)</t>
        </is>
      </c>
      <c r="C178" s="9" t="inlineStr">
        <is>
          <t>applyBrand() sobrescreve os tokens CSS, bucket 'marca', cor no tema e blocos do relatório que dá para desligar; nas páginas públicas vale a marca do dono do link.</t>
        </is>
      </c>
      <c r="D178" s="9" t="inlineStr">
        <is>
          <t>Plataforma</t>
        </is>
      </c>
      <c r="E178" s="9" t="inlineStr">
        <is>
          <t>Concluído</t>
        </is>
      </c>
      <c r="F178" s="9" t="n">
        <v>177</v>
      </c>
      <c r="G178" s="9" t="inlineStr">
        <is>
          <t>Claude</t>
        </is>
      </c>
      <c r="H178" s="9" t="inlineStr">
        <is>
          <t>feature-marca-white-label.md · git log c6ebd5a</t>
        </is>
      </c>
      <c r="I178" s="9" t="inlineStr">
        <is>
          <t>Conferido: src/lib/brand.tsx:60 (applyBrand sobrescreve os tokens CSS) e :85 (useApplyBrand desfaz ao sair) + src/lib/brand.server.ts (loadBrandAndSettings, marca do DONO do link nas páginas</t>
        </is>
      </c>
    </row>
    <row r="179">
      <c r="A179" s="9" t="n">
        <v>178</v>
      </c>
      <c r="B179" s="9" t="inlineStr">
        <is>
          <t>Material com audiência e aula virando evento na agenda</t>
        </is>
      </c>
      <c r="C179" s="9" t="inlineStr">
        <is>
          <t>Cada material escolhe se é 'só você' ou 'o aluno também', e a aula com horário gera evento na agenda dos grupos.</t>
        </is>
      </c>
      <c r="D179" s="9" t="inlineStr">
        <is>
          <t>Classroom</t>
        </is>
      </c>
      <c r="E179" s="9" t="inlineStr">
        <is>
          <t>Concluído</t>
        </is>
      </c>
      <c r="F179" s="9" t="n">
        <v>178</v>
      </c>
      <c r="G179" s="9" t="inlineStr">
        <is>
          <t>Claude</t>
        </is>
      </c>
      <c r="H179" s="9" t="inlineStr">
        <is>
          <t>git log c342813</t>
        </is>
      </c>
      <c r="I179" s="9" t="inlineStr">
        <is>
          <t>Conferido: supabase/migrations/20260730190000_classroom_material_e_agenda.sql — coluna visivel_aluno e a policy mat_read reescrita (professor vê tudo; aluno só o liberado), mais eventos.aula_</t>
        </is>
      </c>
    </row>
    <row r="180">
      <c r="A180" s="9" t="n">
        <v>179</v>
      </c>
      <c r="B180" s="9" t="inlineStr">
        <is>
          <t>Mentor envia templates direto, sem duplicar</t>
        </is>
      </c>
      <c r="C180" s="9" t="inlineStr">
        <is>
          <t>O bloqueio era o filtro do front; duplicar virou opcional, com badge 'Modelo' / 'Minha versão'.</t>
        </is>
      </c>
      <c r="D180" s="9" t="inlineStr">
        <is>
          <t>Testes</t>
        </is>
      </c>
      <c r="E180" s="9" t="inlineStr">
        <is>
          <t>Concluído</t>
        </is>
      </c>
      <c r="F180" s="9" t="n">
        <v>179</v>
      </c>
      <c r="G180" s="9" t="inlineStr">
        <is>
          <t>Claude</t>
        </is>
      </c>
      <c r="H180" s="9" t="inlineStr">
        <is>
          <t>avaliacao-bateria-e-relatorios.md § Outros achados</t>
        </is>
      </c>
      <c r="I180" s="9" t="inlineStr">
        <is>
          <t>Conferido: src/routes/_app.envios.novo.tsx:101 (ordena por is_template em vez de filtrar) e :415 (rótulo "Modelo") + src/routes/_app.testes.index.tsx:81 (badge `v.is_template ? "Modelo" : "Mi</t>
        </is>
      </c>
    </row>
    <row r="181">
      <c r="A181" s="9" t="n">
        <v>180</v>
      </c>
      <c r="B181" s="9" t="inlineStr">
        <is>
          <t>Menu Devolutivas com fila calculada</t>
        </is>
      </c>
      <c r="C181" s="9" t="inlineStr">
        <is>
          <t>Quem tem submitted_at e não tem devolutiva não-cancelada aparece sozinho; contador de dias muda de cor aos 7 e aos 21.</t>
        </is>
      </c>
      <c r="D181" s="9" t="inlineStr">
        <is>
          <t>Agenda</t>
        </is>
      </c>
      <c r="E181" s="9" t="inlineStr">
        <is>
          <t>Concluído</t>
        </is>
      </c>
      <c r="F181" s="9" t="n">
        <v>180</v>
      </c>
      <c r="G181" s="9" t="inlineStr">
        <is>
          <t>Claude</t>
        </is>
      </c>
      <c r="H181" s="9" t="inlineStr">
        <is>
          <t>feature-devolutivas.md · git log ffa9121</t>
        </is>
      </c>
      <c r="I181" s="9" t="inlineStr">
        <is>
          <t>Varredura completa do Claude Code, 03/08 (11 áreas, 237 demandas), cruzada com a varredura independente do chat. ÓRFÃ: o objeto desta demanda (a fila calculada de devolutivas) foi apagado em 31/07, quando o menu Mentorias substituiu Devolutivas. Não há mais o que fazer nem o que decidir. Registro mantido para o histórico não mentir sobre o que já foi planejado.</t>
        </is>
      </c>
    </row>
    <row r="182">
      <c r="A182" s="9" t="n">
        <v>181</v>
      </c>
      <c r="B182" s="9" t="inlineStr">
        <is>
          <t>Menu Testes com abas Catálogo, Envios e Devolutivas</t>
        </is>
      </c>
      <c r="C182" s="9" t="inlineStr">
        <is>
          <t>Item A: Envios e Devolutivas viram abas dentro do menu Testes, respeitando a permissão de cada colaborador (aba some conforme a permissão).</t>
        </is>
      </c>
      <c r="D182" s="9" t="inlineStr">
        <is>
          <t>Testes</t>
        </is>
      </c>
      <c r="E182" s="9" t="inlineStr">
        <is>
          <t>Concluído</t>
        </is>
      </c>
      <c r="F182" s="9" t="n">
        <v>181</v>
      </c>
      <c r="G182" s="9" t="inlineStr">
        <is>
          <t>Claude</t>
        </is>
      </c>
      <c r="H182" s="9" t="inlineStr">
        <is>
          <t>docs/plano-demandas-30-07.md § A · docs/plano-demandas-30-07.md § A bloco de cuidado · git log eb9b059</t>
        </is>
      </c>
      <c r="I182" s="9" t="inlineStr">
        <is>
          <t>Varredura completa do Claude Code, 03/08 (11 áreas, 237 demandas), cruzada com a varredura independente do chat. Hoje são 2 abas, não 3: Devolutivas virou o menu Mentorias. A mudança está rastreada na #213.</t>
        </is>
      </c>
    </row>
    <row r="183">
      <c r="A183" s="9" t="n">
        <v>182</v>
      </c>
      <c r="B183" s="9" t="inlineStr">
        <is>
          <t>Menu lateral recolhível no painel do aluno</t>
        </is>
      </c>
      <c r="C183" s="9" t="inlineStr">
        <is>
          <t>Item B: a barra do aluno sai do topo e vira lateral esquerda recolhível, com o estado salvo no navegador.</t>
        </is>
      </c>
      <c r="D183" s="9" t="inlineStr">
        <is>
          <t>Plataforma</t>
        </is>
      </c>
      <c r="E183" s="9" t="inlineStr">
        <is>
          <t>Concluído</t>
        </is>
      </c>
      <c r="F183" s="9" t="n">
        <v>182</v>
      </c>
      <c r="G183" s="9" t="inlineStr">
        <is>
          <t>Claude</t>
        </is>
      </c>
      <c r="H183" s="9" t="inlineStr">
        <is>
          <t>docs/plano-demandas-30-07.md § B · git log e38d473</t>
        </is>
      </c>
      <c r="I183" s="9" t="inlineStr">
        <is>
          <t>Conferido: /Users/matheusguedescarneiro/Documents/persona-compass-suite/src/routes/aluno.tsx:96-164 — estado `recolhida`, persistência em localStorage("aluno-menu-recolhido"), larguras lg:w-1</t>
        </is>
      </c>
    </row>
    <row r="184">
      <c r="A184" s="9" t="n">
        <v>183</v>
      </c>
      <c r="B184" s="9" t="inlineStr">
        <is>
          <t>Menu próprio do mentor afiliado</t>
        </is>
      </c>
      <c r="C184" s="9" t="inlineStr">
        <is>
          <t>O mentor deixa de cair no dashboard vazio do dono e ganha Grupos, Devolutivas, Comunidades e Educação.</t>
        </is>
      </c>
      <c r="D184" s="9" t="inlineStr">
        <is>
          <t>Academy</t>
        </is>
      </c>
      <c r="E184" s="9" t="inlineStr">
        <is>
          <t>Concluído</t>
        </is>
      </c>
      <c r="F184" s="9" t="n">
        <v>183</v>
      </c>
      <c r="G184" s="9" t="inlineStr">
        <is>
          <t>Claude</t>
        </is>
      </c>
      <c r="H184" s="9" t="inlineStr">
        <is>
          <t>docs/plano-area-do-aluno.md § Anexo 1 plano C · git log c95ec7e</t>
        </is>
      </c>
      <c r="I184" s="9" t="inlineStr">
        <is>
          <t>Varredura completa do Claude Code, 03/08 (11 áreas, 237 demandas), cruzada com a varredura independente do chat. A prova aponta código removido horas depois, mas o objetivo foi cumprido por outra arquitetura decidida no mesmo dia.</t>
        </is>
      </c>
    </row>
    <row r="185">
      <c r="A185" s="9" t="n">
        <v>184</v>
      </c>
      <c r="B185" s="9" t="inlineStr">
        <is>
          <t>Migração para Supabase próprio e cutover</t>
        </is>
      </c>
      <c r="C185" s="9" t="inlineStr">
        <is>
          <t>Saída do banco gerenciado pelo Lovable para o projeto ycprhrbotcyrewewbwvm, com Google OAuth próprio e APP_SUPABASE_SERVICE_ROLE_KEY.</t>
        </is>
      </c>
      <c r="D185" s="9" t="inlineStr">
        <is>
          <t>Infra</t>
        </is>
      </c>
      <c r="E185" s="9" t="inlineStr">
        <is>
          <t>Concluído</t>
        </is>
      </c>
      <c r="F185" s="9" t="n">
        <v>184</v>
      </c>
      <c r="G185" s="9" t="inlineStr">
        <is>
          <t>Claude</t>
        </is>
      </c>
      <c r="H185" s="9" t="inlineStr">
        <is>
          <t>publicacao-exige-cutover.md · migracao-supabase-proprio.md · git log 815a3b3</t>
        </is>
      </c>
      <c r="I185" s="9" t="inlineStr">
        <is>
          <t>Conferido: .env commitada com SUPABASE_PROJECT_ID="ycprhrbotcyrewewbwvm"; src/integrations/supabase/client.server.ts:41 lê APP_SUPABASE_SERVICE_ROLE_KEY; commit 815a3b3 "Relatórios ricos, cor</t>
        </is>
      </c>
    </row>
    <row r="186">
      <c r="A186" s="9" t="n">
        <v>185</v>
      </c>
      <c r="B186" s="9" t="inlineStr">
        <is>
          <t>Moderação da comunidade</t>
        </is>
      </c>
      <c r="C186" s="9" t="inlineStr">
        <is>
          <t>Só o dono e o mentor do grupo apagam post alheio; o aluno apaga o dele e a lixeira some para quem não pode.</t>
        </is>
      </c>
      <c r="D186" s="9" t="inlineStr">
        <is>
          <t>Comunidade</t>
        </is>
      </c>
      <c r="E186" s="9" t="inlineStr">
        <is>
          <t>Concluído</t>
        </is>
      </c>
      <c r="F186" s="9" t="n">
        <v>185</v>
      </c>
      <c r="G186" s="9" t="inlineStr">
        <is>
          <t>Claude</t>
        </is>
      </c>
      <c r="H186" s="9" t="inlineStr">
        <is>
          <t>docs/plano-area-do-aluno.md § 5 · fila-area-do-aluno.md linhas 25-28 · git log 38729bd</t>
        </is>
      </c>
      <c r="I186" s="9" t="inlineStr">
        <is>
          <t>Conferido: supabase/migrations/20260730020000_moderacao_da_comunidade.sql (função SECURITY DEFINER `posso_moderar_post`: dono do grupo OU mentor atribuído via team_member_groups) + /Users/mat</t>
        </is>
      </c>
    </row>
    <row r="187">
      <c r="A187" s="9" t="n">
        <v>186</v>
      </c>
      <c r="B187" s="9" t="inlineStr">
        <is>
          <t>Painel de devolutiva em cartões (Fase 1)</t>
        </is>
      </c>
      <c r="C187" s="9" t="inlineStr">
        <is>
          <t>/devolutivas/$id/painel com um cartão por instrumento respondido, para conduzir a conversa sem rolar um documento longo. Primeira das 4 fases da ficha de trabalho.</t>
        </is>
      </c>
      <c r="D187" s="9" t="inlineStr">
        <is>
          <t>Relatórios</t>
        </is>
      </c>
      <c r="E187" s="9" t="inlineStr">
        <is>
          <t>Concluído</t>
        </is>
      </c>
      <c r="F187" s="9" t="n">
        <v>186</v>
      </c>
      <c r="G187" s="9" t="inlineStr">
        <is>
          <t>Claude</t>
        </is>
      </c>
      <c r="H187" s="9" t="inlineStr">
        <is>
          <t>docs/plano-painel-devolutiva.md § 4 Fase 1 · referencia-cis-painel-devolutiva.md · git log 6f61c65</t>
        </is>
      </c>
      <c r="I187" s="9" t="inlineStr">
        <is>
          <t>Varredura completa do Claude Code, 03/08 (11 áreas, 237 demandas), cruzada com a varredura independente do chat. ÓRFÃ: o objeto desta demanda (o painel de devolutiva) foi apagado em 31/07, quando o menu Mentorias substituiu Devolutivas. Não há mais o que fazer nem o que decidir. Registro mantido para o histórico não mentir sobre o que já foi planejado.</t>
        </is>
      </c>
    </row>
    <row r="188">
      <c r="A188" s="9" t="n">
        <v>187</v>
      </c>
      <c r="B188" s="9" t="inlineStr">
        <is>
          <t>Painel do aluno mostrando o resultado em gráficos</t>
        </is>
      </c>
      <c r="C188" s="9" t="inlineStr">
        <is>
          <t>Um cartão por inventário concluído com as dimensões em barras, antes da lista de links.</t>
        </is>
      </c>
      <c r="D188" s="9" t="inlineStr">
        <is>
          <t>Relatórios</t>
        </is>
      </c>
      <c r="E188" s="9" t="inlineStr">
        <is>
          <t>Concluído</t>
        </is>
      </c>
      <c r="F188" s="9" t="n">
        <v>187</v>
      </c>
      <c r="G188" s="9" t="inlineStr">
        <is>
          <t>Claude</t>
        </is>
      </c>
      <c r="H188" s="9" t="inlineStr">
        <is>
          <t>docs/plano-area-do-aluno.md § 1 item 4 · fila-area-do-aluno.md tabela linha 17 · git log f68f0f2</t>
        </is>
      </c>
      <c r="I188" s="9" t="inlineStr">
        <is>
          <t>Conferido: /Users/matheusguedescarneiro/Documents/persona-compass-suite/src/components/resultados-do-aluno.tsx (barras com `width: ${f.valor}%` na linha 62) + src/lib/student.functions.ts + s</t>
        </is>
      </c>
    </row>
    <row r="189">
      <c r="A189" s="9" t="n">
        <v>188</v>
      </c>
      <c r="B189" s="9" t="inlineStr">
        <is>
          <t>Perfil entre colegas com limite e consentimento</t>
        </is>
      </c>
      <c r="C189" s="9" t="inlineStr">
        <is>
          <t>Membro vê foto, nome e cargo; contato e profissão só aparecem se a própria pessoa autorizar, com padrão desligado.</t>
        </is>
      </c>
      <c r="D189" s="9" t="inlineStr">
        <is>
          <t>Comunidade</t>
        </is>
      </c>
      <c r="E189" s="9" t="inlineStr">
        <is>
          <t>Concluído</t>
        </is>
      </c>
      <c r="F189" s="9" t="n">
        <v>188</v>
      </c>
      <c r="G189" s="9" t="inlineStr">
        <is>
          <t>Claude</t>
        </is>
      </c>
      <c r="H189" s="9" t="inlineStr">
        <is>
          <t>docs/plano-demandas-30-07.md § F, bloco de alerta · git log 4299d8b · git log 97c1de3</t>
        </is>
      </c>
      <c r="I189" s="9" t="inlineStr">
        <is>
          <t>Conferido: supabase/migrations/20260730070000_perfil_visivel.sql (coluna `people.perfil_visivel` DEFAULT false + função SECURITY DEFINER `perfil_do_colega`, com CASE por consentimento e checa</t>
        </is>
      </c>
    </row>
    <row r="190">
      <c r="A190" s="9" t="n">
        <v>189</v>
      </c>
      <c r="B190" s="9" t="inlineStr">
        <is>
          <t>Permissão can_schedule_devolutivas por grupo</t>
        </is>
      </c>
      <c r="C190" s="9" t="inlineStr">
        <is>
          <t>Coluna em team_member_groups, ao lado de can_download_reports, para liberar por grupo quem pode agendar devolutiva.</t>
        </is>
      </c>
      <c r="D190" s="9" t="inlineStr">
        <is>
          <t>Infra</t>
        </is>
      </c>
      <c r="E190" s="9" t="inlineStr">
        <is>
          <t>Concluído</t>
        </is>
      </c>
      <c r="F190" s="9" t="n">
        <v>189</v>
      </c>
      <c r="G190" s="9" t="inlineStr">
        <is>
          <t>Claude</t>
        </is>
      </c>
      <c r="H190" s="9" t="inlineStr">
        <is>
          <t>docs/plano-area-do-aluno.md § Anexo 1 plano D · docs/plano-menu-gestao.md § Etapa 2</t>
        </is>
      </c>
      <c r="I190" s="9" t="inlineStr">
        <is>
          <t>Varredura completa do Claude Code, 03/08 (11 áreas, 237 demandas), cruzada com a varredura independente do chat. A decisão continua válida; só o nome do artefato citado mudou em renomeações posteriores.</t>
        </is>
      </c>
    </row>
    <row r="191">
      <c r="A191" s="9" t="n">
        <v>190</v>
      </c>
      <c r="B191" s="9" t="inlineStr">
        <is>
          <t>Plano de ação interativo</t>
        </is>
      </c>
      <c r="C191" s="9" t="inlineStr">
        <is>
          <t>O avaliado registra compromissos e ações a partir do resultado, dentro do próprio relatório (action_plans).</t>
        </is>
      </c>
      <c r="D191" s="9" t="inlineStr">
        <is>
          <t>Relatórios</t>
        </is>
      </c>
      <c r="E191" s="9" t="inlineStr">
        <is>
          <t>Concluído</t>
        </is>
      </c>
      <c r="F191" s="9" t="n">
        <v>190</v>
      </c>
      <c r="G191" s="9" t="inlineStr">
        <is>
          <t>Claude</t>
        </is>
      </c>
      <c r="H191" s="9" t="inlineStr">
        <is>
          <t>CLAUDE.md § Estado atual · git log 394828f</t>
        </is>
      </c>
      <c r="I191" s="9" t="inlineStr">
        <is>
          <t>Conferido: src/routes/api.public.action-plan.$id.ts (GET/POST em action_plans, linhas 36 e 65) + ActionPlanSection em src/components/report/sections.tsx:543-557; commit 394828f</t>
        </is>
      </c>
    </row>
    <row r="192">
      <c r="A192" s="9" t="n">
        <v>191</v>
      </c>
      <c r="B192" s="9" t="inlineStr">
        <is>
          <t>Prazo de validade do link em todos os envios</t>
        </is>
      </c>
      <c r="C192" s="9" t="inlineStr">
        <is>
          <t>expires_at em test_responses e assessment_responses, campo 'Disponível até' no wizard e 410 nos endpoints públicos.</t>
        </is>
      </c>
      <c r="D192" s="9" t="inlineStr">
        <is>
          <t>Testes</t>
        </is>
      </c>
      <c r="E192" s="9" t="inlineStr">
        <is>
          <t>Concluído</t>
        </is>
      </c>
      <c r="F192" s="9" t="n">
        <v>191</v>
      </c>
      <c r="G192" s="9" t="inlineStr">
        <is>
          <t>Claude</t>
        </is>
      </c>
      <c r="H192" s="9" t="inlineStr">
        <is>
          <t>feature-validade-e-link-aberto.md § Validade · git log 93afe99</t>
        </is>
      </c>
      <c r="I192" s="9" t="inlineStr">
        <is>
          <t>Conferido: supabase/migrations/20260728010000_link_validade_e_link_aberto.sql (expires_at em test_responses e assessment_responses) + src/lib/tests.functions.ts (expires_at no Zod e no insert</t>
        </is>
      </c>
    </row>
    <row r="193">
      <c r="A193" s="9" t="n">
        <v>192</v>
      </c>
      <c r="B193" s="9" t="inlineStr">
        <is>
          <t>Primeiro acesso do aluno por link e senha</t>
        </is>
      </c>
      <c r="C193" s="9" t="inlineStr">
        <is>
          <t>E-mail → link enviado pelo Resend → só então a senha; a tela nunca diz 'e-mail não encontrado'. A versão literal que ele pediu foi recusada por permitir sequestro de conta.</t>
        </is>
      </c>
      <c r="D193" s="9" t="inlineStr">
        <is>
          <t>Infra</t>
        </is>
      </c>
      <c r="E193" s="9" t="inlineStr">
        <is>
          <t>Concluído</t>
        </is>
      </c>
      <c r="F193" s="9" t="n">
        <v>192</v>
      </c>
      <c r="G193" s="9" t="inlineStr">
        <is>
          <t>Claude</t>
        </is>
      </c>
      <c r="H193" s="9" t="inlineStr">
        <is>
          <t>docs/plano-area-do-aluno.md § 2 · seguranca-primeiro-acesso.md · fila-area-do-aluno.md tabela linha 16 · git l</t>
        </is>
      </c>
      <c r="I193" s="9" t="inlineStr">
        <is>
          <t>Conferido: /Users/matheusguedescarneiro/Documents/persona-compass-suite/src/lib/acesso-aluno.functions.ts:40-118 — resposta sempre neutra ("Se este e-mail estiver cadastrado, você vai receber</t>
        </is>
      </c>
    </row>
    <row r="194">
      <c r="A194" s="9" t="n">
        <v>193</v>
      </c>
      <c r="B194" s="9" t="inlineStr">
        <is>
          <t>Profundidade dos relatórios dimensionais</t>
        </is>
      </c>
      <c r="C194" s="9" t="inlineStr">
        <is>
          <t>Valores, Temperamentos, VAK e Big Five saem de 2 para 9 seções, fechando a distância para o DISC (que tinha 21).</t>
        </is>
      </c>
      <c r="D194" s="9" t="inlineStr">
        <is>
          <t>Relatórios</t>
        </is>
      </c>
      <c r="E194" s="9" t="inlineStr">
        <is>
          <t>Concluído</t>
        </is>
      </c>
      <c r="F194" s="9" t="n">
        <v>193</v>
      </c>
      <c r="G194" s="9" t="inlineStr">
        <is>
          <t>Claude</t>
        </is>
      </c>
      <c r="H194" s="9" t="inlineStr">
        <is>
          <t>profundidade-dos-relatorios.md · avaliacao-bateria-e-relatorios.md · git log 815a3b3 · git log 0772e47</t>
        </is>
      </c>
      <c r="I194" s="9" t="inlineStr">
        <is>
          <t>Conferido: supabase/migrations/20260729140000_relatorio_dimensional.sql + scripts/conteudo_relatorio_dimensional.py (perfil, trabalho, relacoes, pressao, desenvolvimento, sombra para Valores/</t>
        </is>
      </c>
    </row>
    <row r="195">
      <c r="A195" s="9" t="n">
        <v>194</v>
      </c>
      <c r="B195" s="9" t="inlineStr">
        <is>
          <t>Prévia 'Ver como aluno'</t>
        </is>
      </c>
      <c r="C195" s="9" t="inlineStr">
        <is>
          <t>Botão leva a /aluno?ver=&lt;id&gt; com faixa âmbar; não é personificação de login e respeita cadeado e áreas daquela pessoa.</t>
        </is>
      </c>
      <c r="D195" s="9" t="inlineStr">
        <is>
          <t>Plataforma</t>
        </is>
      </c>
      <c r="E195" s="9" t="inlineStr">
        <is>
          <t>Concluído</t>
        </is>
      </c>
      <c r="F195" s="9" t="n">
        <v>194</v>
      </c>
      <c r="G195" s="9" t="inlineStr">
        <is>
          <t>Claude</t>
        </is>
      </c>
      <c r="H195" s="9" t="inlineStr">
        <is>
          <t>feature-tema-fotos-e-ver-como-aluno.md · feature-cadeado-e-areas-do-grupo.md · git log a763af5</t>
        </is>
      </c>
      <c r="I195" s="9" t="inlineStr">
        <is>
          <t>Conferido: src/components/ver-como-aluno.tsx + src/routes/aluno.tsx (search param `ver` em :22-24, faixa âmbar em :205-209 dizendo "É só visualização", areasFn({ preview_person_id: ver }) em</t>
        </is>
      </c>
    </row>
    <row r="196">
      <c r="A196" s="9" t="n">
        <v>195</v>
      </c>
      <c r="B196" s="9" t="inlineStr">
        <is>
          <t>QR derivado da chave que assina o state do Google</t>
        </is>
      </c>
      <c r="C196" s="9" t="inlineStr">
        <is>
          <t>Sem segredo por aula no banco (que vazaria pela RLS): zero tabela, zero escrita, nada secreto para vazar.</t>
        </is>
      </c>
      <c r="D196" s="9" t="inlineStr">
        <is>
          <t>Classroom</t>
        </is>
      </c>
      <c r="E196" s="9" t="inlineStr">
        <is>
          <t>Concluído</t>
        </is>
      </c>
      <c r="F196" s="9" t="n">
        <v>195</v>
      </c>
      <c r="G196" s="9" t="inlineStr">
        <is>
          <t>Claude</t>
        </is>
      </c>
      <c r="H196" s="9" t="inlineStr">
        <is>
          <t>docs/analise-classroom.md § O que a etapa 4 decidiu na prática, item 1</t>
        </is>
      </c>
      <c r="I196" s="9" t="inlineStr">
        <is>
          <t>Conferido: src/lib/checkin.server.ts:44-48 (chave() = SUPABASE_SERVICE_ROLE_KEY || APP_SUPABASE_SERVICE_ROLE_KEY) e src/lib/google.server.ts:142 (chaveDeAssinatura(), exatamente as mesmas var</t>
        </is>
      </c>
    </row>
    <row r="197">
      <c r="A197" s="9" t="n">
        <v>196</v>
      </c>
      <c r="B197" s="9" t="inlineStr">
        <is>
          <t>Relatório completo (Fases 1-3)</t>
        </is>
      </c>
      <c r="C197" s="9" t="inlineStr">
        <is>
          <t>Relatório de verdade a partir das respostas, em três fases, no lugar do resumo de barras.</t>
        </is>
      </c>
      <c r="D197" s="9" t="inlineStr">
        <is>
          <t>Relatórios</t>
        </is>
      </c>
      <c r="E197" s="9" t="inlineStr">
        <is>
          <t>Concluído</t>
        </is>
      </c>
      <c r="F197" s="9" t="n">
        <v>196</v>
      </c>
      <c r="G197" s="9" t="inlineStr">
        <is>
          <t>Claude</t>
        </is>
      </c>
      <c r="H197" s="9" t="inlineStr">
        <is>
          <t>CLAUDE.md § Estado atual · git log 31f7529</t>
        </is>
      </c>
      <c r="I197" s="9" t="inlineStr">
        <is>
          <t>Conferido: src/lib/report.server.ts (523 linhas, os três montadores: DISC, MBTI e dimensional) + src/components/report/sections.tsx (938 linhas) + src/routes/relatorio.$responseId.tsx; commit</t>
        </is>
      </c>
    </row>
    <row r="198">
      <c r="A198" s="9" t="n">
        <v>197</v>
      </c>
      <c r="B198" s="9" t="inlineStr">
        <is>
          <t>Relatório de Tipos Psicológicos (MBTI)</t>
        </is>
      </c>
      <c r="C198" s="9" t="inlineStr">
        <is>
          <t>O MBTI passa de zero texto para oito seções narradas pelos eixos.</t>
        </is>
      </c>
      <c r="D198" s="9" t="inlineStr">
        <is>
          <t>Relatórios</t>
        </is>
      </c>
      <c r="E198" s="9" t="inlineStr">
        <is>
          <t>Concluído</t>
        </is>
      </c>
      <c r="F198" s="9" t="n">
        <v>197</v>
      </c>
      <c r="G198" s="9" t="inlineStr">
        <is>
          <t>Claude</t>
        </is>
      </c>
      <c r="H198" s="9" t="inlineStr">
        <is>
          <t>git log 7e90d9c</t>
        </is>
      </c>
      <c r="I198" s="9" t="inlineStr">
        <is>
          <t>Conferido: supabase/migrations/20260729130000_relatorio_mbti.sql + scripts/conteudo_relatorio_mbti.py (16 sínteses + 8 polos × 4 seções) + mbtiSections() em src/lib/report.server.ts:212-280;</t>
        </is>
      </c>
    </row>
    <row r="199">
      <c r="A199" s="9" t="n">
        <v>198</v>
      </c>
      <c r="B199" s="9" t="inlineStr">
        <is>
          <t>Relatório unificado da bateria com rótulos de derivação</t>
        </is>
      </c>
      <c r="C199" s="9" t="inlineStr">
        <is>
          <t>/relatorio-bateria/$assessmentId com uma seção por teste respondido e rótulos do que é derivado do DISC.</t>
        </is>
      </c>
      <c r="D199" s="9" t="inlineStr">
        <is>
          <t>Relatórios</t>
        </is>
      </c>
      <c r="E199" s="9" t="inlineStr">
        <is>
          <t>Concluído</t>
        </is>
      </c>
      <c r="F199" s="9" t="n">
        <v>198</v>
      </c>
      <c r="G199" s="9" t="inlineStr">
        <is>
          <t>Claude</t>
        </is>
      </c>
      <c r="H199" s="9" t="inlineStr">
        <is>
          <t>CLAUDE.md § Estado atual e § Relatórios</t>
        </is>
      </c>
      <c r="I199" s="9" t="inlineStr">
        <is>
          <t>Conferido: src/routes/relatorio-bateria.$assessmentId.tsx (uma seção por parte, campos done_parts/pending_titles) + src/routes/api.public.report-bateria.$id.ts + SourceBadge "Derivado do seu</t>
        </is>
      </c>
    </row>
    <row r="200">
      <c r="A200" s="9" t="n">
        <v>199</v>
      </c>
      <c r="B200" s="9" t="inlineStr">
        <is>
          <t>Remarcar e cancelar refletindo no Google</t>
        </is>
      </c>
      <c r="C200" s="9" t="inlineStr">
        <is>
          <t>Fecha a lacuna em que só o agendamento inicial ia para o Google.</t>
        </is>
      </c>
      <c r="D200" s="9" t="inlineStr">
        <is>
          <t>Agenda</t>
        </is>
      </c>
      <c r="E200" s="9" t="inlineStr">
        <is>
          <t>Concluído</t>
        </is>
      </c>
      <c r="F200" s="9" t="n">
        <v>199</v>
      </c>
      <c r="G200" s="9" t="inlineStr">
        <is>
          <t>Claude</t>
        </is>
      </c>
      <c r="H200" s="9" t="inlineStr">
        <is>
          <t>git log e7fce41</t>
        </is>
      </c>
      <c r="I200" s="9" t="inlineStr">
        <is>
          <t>Varredura completa do Claude Code, 03/08 (11 áreas, 237 demandas), cruzada com a varredura independente do chat. A capacidade de remarcar/cancelar refletindo no Google NÃO existe hoje — virou a demanda #238, com dois compromissos fantasma já confirmados na agenda do Matheus.</t>
        </is>
      </c>
    </row>
    <row r="201">
      <c r="A201" s="9" t="n">
        <v>200</v>
      </c>
      <c r="B201" s="9" t="inlineStr">
        <is>
          <t>Reteste autorizado com histórico</t>
        </is>
      </c>
      <c r="C201" s="9" t="inlineStr">
        <is>
          <t>Cada autorização cria uma nova aplicação encadeada à anterior, com selo de 'Nª aplicação'; nada é sobrescrito.</t>
        </is>
      </c>
      <c r="D201" s="9" t="inlineStr">
        <is>
          <t>Testes</t>
        </is>
      </c>
      <c r="E201" s="9" t="inlineStr">
        <is>
          <t>Concluído</t>
        </is>
      </c>
      <c r="F201" s="9" t="n">
        <v>200</v>
      </c>
      <c r="G201" s="9" t="inlineStr">
        <is>
          <t>Claude</t>
        </is>
      </c>
      <c r="H201" s="9" t="inlineStr">
        <is>
          <t>roadmap-proximas-features.md item 4 · git log 337d710</t>
        </is>
      </c>
      <c r="I201" s="9" t="inlineStr">
        <is>
          <t>Conferido: supabase/migrations/20260728020000_reteste_com_historico.sql (attempt + previous_response_id em test_responses; attempt + previous_assessment_id em assessment_responses; índices da</t>
        </is>
      </c>
    </row>
    <row r="202">
      <c r="A202" s="9" t="n">
        <v>201</v>
      </c>
      <c r="B202" s="9" t="inlineStr">
        <is>
          <t>Revisão das perguntas dos 6 instrumentos</t>
        </is>
      </c>
      <c r="C202" s="9" t="inlineStr">
        <is>
          <t>A ordem fixa D,I,S,C fazia quem clicava na primeira alternativa sair com perfil D puro; alternativas de peso social parecido e ordem embaralhada.</t>
        </is>
      </c>
      <c r="D202" s="9" t="inlineStr">
        <is>
          <t>Conteúdo</t>
        </is>
      </c>
      <c r="E202" s="9" t="inlineStr">
        <is>
          <t>Concluído</t>
        </is>
      </c>
      <c r="F202" s="9" t="n">
        <v>201</v>
      </c>
      <c r="G202" s="9" t="inlineStr">
        <is>
          <t>Claude</t>
        </is>
      </c>
      <c r="H202" s="9" t="inlineStr">
        <is>
          <t>revisao-perguntas-dos-testes.md · git log f760283</t>
        </is>
      </c>
      <c r="I202" s="9" t="inlineStr">
        <is>
          <t>Conferido: Commit f760283 + 5 migrações aplicadas (20260729080000_disc / 090000_valores / 100000_temperamentos / 110000_vak / 120000_mbti) + scripts/conteudo_*.py com os asserts de equilíbrio</t>
        </is>
      </c>
    </row>
    <row r="203">
      <c r="A203" s="9" t="n">
        <v>202</v>
      </c>
      <c r="B203" s="9" t="inlineStr">
        <is>
          <t>Selo de confiabilidade da resposta e itens invertidos</t>
        </is>
      </c>
      <c r="C203" s="9" t="inlineStr">
        <is>
          <t>O motor entende frases invertidas e marca respostas contraditórias, sem variação ou rápidas demais.</t>
        </is>
      </c>
      <c r="D203" s="9" t="inlineStr">
        <is>
          <t>Testes</t>
        </is>
      </c>
      <c r="E203" s="9" t="inlineStr">
        <is>
          <t>Concluído</t>
        </is>
      </c>
      <c r="F203" s="9" t="n">
        <v>202</v>
      </c>
      <c r="G203" s="9" t="inlineStr">
        <is>
          <t>Claude</t>
        </is>
      </c>
      <c r="H203" s="9" t="inlineStr">
        <is>
          <t>git log e5d4e2a · CLAUDE.md § Relatórios</t>
        </is>
      </c>
      <c r="I203" s="9" t="inlineStr">
        <is>
          <t>Conferido: src/routes/api.public.response.$id.ts:226 (`const ehInvertida = cfg.reverse === true`), :407-514 (medirQualidade: consistência por config.check_group, ausência de variação e ritmo)</t>
        </is>
      </c>
    </row>
    <row r="204">
      <c r="A204" s="9" t="n">
        <v>203</v>
      </c>
      <c r="B204" s="9" t="inlineStr">
        <is>
          <t>Selo de confiabilidade no topo do painel</t>
        </is>
      </c>
      <c r="C204" s="9" t="inlineStr">
        <is>
          <t>A ressalva aparece antes dos números, para o mentor saber se a pessoa respondeu no automático.</t>
        </is>
      </c>
      <c r="D204" s="9" t="inlineStr">
        <is>
          <t>Relatórios</t>
        </is>
      </c>
      <c r="E204" s="9" t="inlineStr">
        <is>
          <t>Concluído</t>
        </is>
      </c>
      <c r="F204" s="9" t="n">
        <v>203</v>
      </c>
      <c r="G204" s="9" t="inlineStr">
        <is>
          <t>Claude</t>
        </is>
      </c>
      <c r="H204" s="9" t="inlineStr">
        <is>
          <t>docs/plano-painel-devolutiva.md § 4 Fase 1</t>
        </is>
      </c>
      <c r="I204" s="9" t="inlineStr">
        <is>
          <t>Varredura completa do Claude Code, 03/08 (11 áreas, 237 demandas), cruzada com a varredura independente do chat. ÓRFÃ: o objeto desta demanda (o painel de devolutiva) foi apagado em 31/07, quando o menu Mentorias substituiu Devolutivas. Não há mais o que fazer nem o que decidir. Registro mantido para o histórico não mentir sobre o que já foi planejado.</t>
        </is>
      </c>
    </row>
    <row r="205">
      <c r="A205" s="9" t="n">
        <v>204</v>
      </c>
      <c r="B205" s="9" t="inlineStr">
        <is>
          <t>Selo separado da marca, chave de dados e Ranking fora</t>
        </is>
      </c>
      <c r="C205" s="9" t="inlineStr">
        <is>
          <t>Três itens da lista de pendências: campo próprio para o selo, chave 'Meus dados para o grupo' movida e menu Ranking removido do painel do aluno.</t>
        </is>
      </c>
      <c r="D205" s="9" t="inlineStr">
        <is>
          <t>Plataforma</t>
        </is>
      </c>
      <c r="E205" s="9" t="inlineStr">
        <is>
          <t>Concluído</t>
        </is>
      </c>
      <c r="F205" s="9" t="n">
        <v>204</v>
      </c>
      <c r="G205" s="9" t="inlineStr">
        <is>
          <t>Claude</t>
        </is>
      </c>
      <c r="H205" s="9" t="inlineStr">
        <is>
          <t>git log 120d307</t>
        </is>
      </c>
      <c r="I205" s="9" t="inlineStr">
        <is>
          <t>Conferido: supabase/migrations/20260730120000_selo_separado.sql (ADD company_seal_name, DROP company_footer_public e company_address, UPDATE devolvendo a marca) + src/routes/aluno.perfil.tsx:</t>
        </is>
      </c>
    </row>
    <row r="206">
      <c r="A206" s="9" t="n">
        <v>205</v>
      </c>
      <c r="B206" s="9" t="inlineStr">
        <is>
          <t>Sino de notificações</t>
        </is>
      </c>
      <c r="C206" s="9" t="inlineStr">
        <is>
          <t>Tabela notificacoes com gatilhos no banco e sino no cabeçalho; três regras de quem vê o quê, moradas no banco e não na tela.</t>
        </is>
      </c>
      <c r="D206" s="9" t="inlineStr">
        <is>
          <t>Infra</t>
        </is>
      </c>
      <c r="E206" s="9" t="inlineStr">
        <is>
          <t>Concluído</t>
        </is>
      </c>
      <c r="F206" s="9" t="n">
        <v>205</v>
      </c>
      <c r="G206" s="9" t="inlineStr">
        <is>
          <t>Claude</t>
        </is>
      </c>
      <c r="H206" s="9" t="inlineStr">
        <is>
          <t>docs/plano-area-do-aluno.md § Anexo 2 itens 1-3 · feature-notificacoes.md · git log c39586c</t>
        </is>
      </c>
      <c r="I206" s="9" t="inlineStr">
        <is>
          <t>Conferido: supabase/migrations/20260730030000_notificacoes.sql (tabela notificacoes + função notificar() SECURITY DEFINER com as 3 regras no UNION); src/components/sino.tsx; src/lib/notificac</t>
        </is>
      </c>
    </row>
    <row r="207">
      <c r="A207" s="9" t="n">
        <v>206</v>
      </c>
      <c r="B207" s="9" t="inlineStr">
        <is>
          <t>Telefone obrigatório no link aberto</t>
        </is>
      </c>
      <c r="C207" s="9" t="inlineStr">
        <is>
          <t>O formulário passou a pedir nome, e-mail e telefone, gravado em people.phone.</t>
        </is>
      </c>
      <c r="D207" s="9" t="inlineStr">
        <is>
          <t>Testes</t>
        </is>
      </c>
      <c r="E207" s="9" t="inlineStr">
        <is>
          <t>Concluído</t>
        </is>
      </c>
      <c r="F207" s="9" t="n">
        <v>206</v>
      </c>
      <c r="G207" s="9" t="inlineStr">
        <is>
          <t>Claude</t>
        </is>
      </c>
      <c r="H207" s="9" t="inlineStr">
        <is>
          <t>roadmap-proximas-features.md item 6 · git log 93721ba</t>
        </is>
      </c>
      <c r="I207" s="9" t="inlineStr">
        <is>
          <t>Conferido: src/routes/api.public.invite.$id.ts (joinSchema com `phone: z.string().trim().min(8).max(40)` e phone no insert de people) + src/routes/convite.$linkId.tsx:154-157 (campo type="tel</t>
        </is>
      </c>
    </row>
    <row r="208">
      <c r="A208" s="9" t="n">
        <v>207</v>
      </c>
      <c r="B208" s="9" t="inlineStr">
        <is>
          <t>Tema claro / escuro</t>
        </is>
      </c>
      <c r="C208" s="9" t="inlineStr">
        <is>
          <t>Claro, escuro ou igual ao sistema, com preferência no localStorage e script anti-piscada; PRINT_CSS força tokens claros na impressão.</t>
        </is>
      </c>
      <c r="D208" s="9" t="inlineStr">
        <is>
          <t>Plataforma</t>
        </is>
      </c>
      <c r="E208" s="9" t="inlineStr">
        <is>
          <t>Concluído</t>
        </is>
      </c>
      <c r="F208" s="9" t="n">
        <v>207</v>
      </c>
      <c r="G208" s="9" t="inlineStr">
        <is>
          <t>Claude</t>
        </is>
      </c>
      <c r="H208" s="9" t="inlineStr">
        <is>
          <t>feature-tema-fotos-e-ver-como-aluno.md · git log a763af5</t>
        </is>
      </c>
      <c r="I208" s="9" t="inlineStr">
        <is>
          <t>Conferido: src/lib/theme.tsx:25 SCRIPT_ANTI_PISCADA (lê localStorage antes da hidratação e aplica a classe dark), modos claro/escuro/sistema em :31-58, injetado em src/routes/__root.tsx:15; P</t>
        </is>
      </c>
    </row>
    <row r="209">
      <c r="A209" s="9" t="n">
        <v>208</v>
      </c>
      <c r="B209" s="9" t="inlineStr">
        <is>
          <t>Testes enriquecidos de 12 para 24 blocos</t>
        </is>
      </c>
      <c r="C209" s="9" t="inlineStr">
        <is>
          <t>VAK, Temperamentos e Valores ganharam 36 blocos novos, com escolha forçada e temas neutros em desejabilidade social.</t>
        </is>
      </c>
      <c r="D209" s="9" t="inlineStr">
        <is>
          <t>Conteúdo</t>
        </is>
      </c>
      <c r="E209" s="9" t="inlineStr">
        <is>
          <t>Concluído</t>
        </is>
      </c>
      <c r="F209" s="9" t="n">
        <v>208</v>
      </c>
      <c r="G209" s="9" t="inlineStr">
        <is>
          <t>Claude</t>
        </is>
      </c>
      <c r="H209" s="9" t="inlineStr">
        <is>
          <t>avaliacao-bateria-e-relatorios.md § Outros achados</t>
        </is>
      </c>
      <c r="I209" s="9" t="inlineStr">
        <is>
          <t>Conferido: Estado final provado nas migrações: 24 blocos forced_choice em 20260729110000_vak_blocos_revisados.sql, 28 em 20260729100000_temperamentos, 30 em 20260729090000_valores (o CLAUDE.m</t>
        </is>
      </c>
    </row>
    <row r="210">
      <c r="A210" s="9" t="n">
        <v>209</v>
      </c>
      <c r="B210" s="9" t="inlineStr">
        <is>
          <t>marcarPresencaManual passou a validar a pessoa</t>
        </is>
      </c>
      <c r="C210" s="9" t="inlineStr">
        <is>
          <t>A policy só conferia a aula e o person_id vinha do cliente; com pontos por service role isso virava escrita na conta de outro aluno.</t>
        </is>
      </c>
      <c r="D210" s="9" t="inlineStr">
        <is>
          <t>Classroom</t>
        </is>
      </c>
      <c r="E210" s="9" t="inlineStr">
        <is>
          <t>Concluído</t>
        </is>
      </c>
      <c r="F210" s="9" t="n">
        <v>209</v>
      </c>
      <c r="G210" s="9" t="inlineStr">
        <is>
          <t>Claude</t>
        </is>
      </c>
      <c r="H210" s="9" t="inlineStr">
        <is>
          <t>estado-atual-e-fila.md § Pontos (etapa 6)</t>
        </is>
      </c>
      <c r="I210" s="9" t="inlineStr">
        <is>
          <t>Conferido: src/lib/classroom.functions.ts:1049-1076 — o comentário nomeia o furo ('A policy pres_professor só valida aula_id — person_id vem do cliente e nunca era conferido') e a checagem re</t>
        </is>
      </c>
    </row>
    <row r="211">
      <c r="A211" s="9" t="n">
        <v>210</v>
      </c>
      <c r="B211" s="9" t="inlineStr">
        <is>
          <t>Aluno logado caía no painel do mentor</t>
        </is>
      </c>
      <c r="C211" s="9" t="inlineStr">
        <is>
          <t>O guard de _app testava `"to" in e` para saber se a exceção era um redirect; o objeto do TanStack tem o `to` um nível abaixo (options.to). O catch engolia o próprio redirect e o aluno via 'Novo Envio', 'Ver como aluno' e 'Ranking geral'.</t>
        </is>
      </c>
      <c r="D211" s="9" t="inlineStr">
        <is>
          <t>Plataforma</t>
        </is>
      </c>
      <c r="E211" s="9" t="inlineStr">
        <is>
          <t>Concluído</t>
        </is>
      </c>
      <c r="F211" s="9" t="n">
        <v>210</v>
      </c>
      <c r="G211" s="9" t="inlineStr">
        <is>
          <t>Claude</t>
        </is>
      </c>
      <c r="H211" s="9" t="inlineStr">
        <is>
          <t>achado no teste com login de aluno real, 30/07</t>
        </is>
      </c>
      <c r="I211" s="9" t="inlineStr">
        <is>
          <t>Corrigido com isRedirect(); fallback passou a mandar para /aluno. Conferido na tela com a conta de teste.</t>
        </is>
      </c>
    </row>
    <row r="212">
      <c r="A212" s="9" t="n">
        <v>211</v>
      </c>
      <c r="B212" s="9" t="inlineStr">
        <is>
          <t>Comunidade vazia para todo aluno real</t>
        </is>
      </c>
      <c r="C212" s="9" t="inlineStr">
        <is>
          <t>As policies de SELECT de groups e group_members só tinham o ramo da equipe. O aluno não lia o próprio grupo, então a comunidade, a aba Membros e o ranking do grupo ficavam vazios.</t>
        </is>
      </c>
      <c r="D212" s="9" t="inlineStr">
        <is>
          <t>Comunidade</t>
        </is>
      </c>
      <c r="E212" s="9" t="inlineStr">
        <is>
          <t>Concluído</t>
        </is>
      </c>
      <c r="F212" s="9" t="n">
        <v>211</v>
      </c>
      <c r="G212" s="9" t="inlineStr">
        <is>
          <t>Claude</t>
        </is>
      </c>
      <c r="H212" s="9" t="inlineStr">
        <is>
          <t>achado no teste com login de aluno real, 30/07</t>
        </is>
      </c>
      <c r="I212" s="9" t="inlineStr">
        <is>
          <t>Corrigido usando posso_ver_grupo() nas duas policies. Conferido: aluno vê só o grupo dele, dono continua vendo os três, comunidade abre com feed, ranking e membros.</t>
        </is>
      </c>
    </row>
    <row r="213">
      <c r="A213" s="9" t="n">
        <v>212</v>
      </c>
      <c r="B213" s="9" t="inlineStr">
        <is>
          <t>Construtor de testes (tipo Google Forms)</t>
        </is>
      </c>
      <c r="C213" s="9" t="inlineStr">
        <is>
          <t>Transformar o menu Testes num construtor: secoes, perguntas e varios formatos de resposta; interpretacao OPCIONAL por chavinha (ligada gera perfil/relatorio, desligada e coleta pura tipo pesquisa de satisfacao); painel de respostas com visao agregada e individual. Arquitetura decidida: REAPROVEITAR o menu existente, DISC/MBTI viram templates, botao 'criar novo teste' ao lado. Nada de menu novo.</t>
        </is>
      </c>
      <c r="D213" s="9" t="inlineStr">
        <is>
          <t>Testes</t>
        </is>
      </c>
      <c r="E213" s="9" t="inlineStr">
        <is>
          <t>Planejado</t>
        </is>
      </c>
      <c r="F213" s="9" t="n">
        <v>212</v>
      </c>
      <c r="G213" s="9" t="inlineStr">
        <is>
          <t>Claude</t>
        </is>
      </c>
      <c r="H213" s="9" t="inlineStr">
        <is>
          <t>Lembretes do iPhone, 30/07 21:39 (chat C1)</t>
        </is>
      </c>
      <c r="I213" s="9" t="inlineStr">
        <is>
          <t>Fase 4 do docs/roadmap-fases.md. Absorve a demanda 'Selecao pergunta a pergunta ao montar a bateria' e depende do BUG do select 'Dimensao pontuada' estar resolvido.</t>
        </is>
      </c>
    </row>
    <row r="214">
      <c r="A214" s="9" t="n">
        <v>213</v>
      </c>
      <c r="B214" s="9" t="inlineStr">
        <is>
          <t>Menu Mentorias — Fatia 1: o ciclo completo</t>
        </is>
      </c>
      <c r="C214" s="9" t="inlineStr">
        <is>
          <t>Devolutivas sai do menu Testes e vira o menu Mentorias, de primeiro nível. FATIA 1 (indivisível): criar pacote de sessões, agendar sessão à mão (presencial/online, endereço/link), marcar concluída, cartão de pós-mentoria (duração real, resumo, checklist nomeável) e painel do aluno vendo tudo e marcando só o checklist. Spec completa em docs/plano-mentorias.md.</t>
        </is>
      </c>
      <c r="D214" s="9" t="inlineStr">
        <is>
          <t>Plataforma</t>
        </is>
      </c>
      <c r="E214" s="9" t="inlineStr">
        <is>
          <t>Concluído</t>
        </is>
      </c>
      <c r="F214" s="9" t="n">
        <v>213</v>
      </c>
      <c r="G214" s="9" t="inlineStr">
        <is>
          <t>Matheus</t>
        </is>
      </c>
      <c r="H214" s="9" t="inlineStr">
        <is>
          <t>Lembretes do iPhone, 30/07 21:43 (chat C1)</t>
        </is>
      </c>
      <c r="I214" s="9" t="inlineStr">
        <is>
          <t>NO AR e provado em produção com login real, nos 7 pontos da seção 5 do docs/plano-mentorias.md: a conta do pacote se calcula sozinha (0 realizadas · 1 agendada · 2 a agendar), o professor conclui informando duração e resumo, o ALUNO vê o resumo e o checklist (o teste que decidia), o aluno marca e o professor enxerga, o aluno é BARRADO ao colar a rota do professor, o colaborador sem a permissão não vê menu nem rota, e aumentar o pacote de 3 para 5 reajusta a conta. Commits f10314a e 290883b. Migração aplicada em 9 blocos pelo Chrome via monaco.setValue (colar pelo clipboard corrompia acento). CONFERIDO POR FORA pelo chat: tabela devolutivas apagada, função posso_agendar_devolutiva removida, contas de teste limpas (7 pessoas reais, 1 colaborador), git em dia. CUSTO: a produção caiu — o login parou enquanto a permissão era renomeada no banco com o código antigo ainda no ar. Deu origem à regra 5 da constituição.</t>
        </is>
      </c>
    </row>
    <row r="215">
      <c r="A215" s="9" t="n">
        <v>214</v>
      </c>
      <c r="B215" s="9" t="inlineStr">
        <is>
          <t>Auditar o dono do dado em tudo que ja existe</t>
        </is>
      </c>
      <c r="C215" s="9" t="inlineStr">
        <is>
          <t>Mapear as tabelas ja construidas e identificar onde falta o campo de proprietario. Cirurgia planejada, um pedaco por vez, sem parar o resto. Nao e urgente enquanto so o Matheus usa (nao ha segundo cliente, logo nao ha risco de vazamento entre clientes) — e preparacao para virar SaaS.</t>
        </is>
      </c>
      <c r="D215" s="9" t="inlineStr">
        <is>
          <t>Infra</t>
        </is>
      </c>
      <c r="E215" s="9" t="inlineStr">
        <is>
          <t>Concluído</t>
        </is>
      </c>
      <c r="F215" s="9" t="n">
        <v>214</v>
      </c>
      <c r="G215" s="9" t="inlineStr">
        <is>
          <t>Claude</t>
        </is>
      </c>
      <c r="H215" s="9" t="inlineStr">
        <is>
          <t>Lembretes do iPhone, 30/07 21:54 (chat C1)</t>
        </is>
      </c>
      <c r="I215" s="9" t="inlineStr">
        <is>
          <t>Fechado em a45fc79 (ponto de retorno em bae568e). Só leitura de estrutura — list_tables do Supabase (colunas + chaves estrangeiras), nenhuma linha lida, nenhuma tabela/coluna/política alterada no banco. As 60 tabelas de public foram classificadas: 29 têm dono direto (mentor_id/owner_id/conta_id, ou a própria chave primária nos casos de profiles/google_conexoes); 30 herdam o dono por relacionamento — 8 por um salto só, 18 por uma cadeia mais longa (a maior, option_scores, 3 saltos até test_versions.mentor_id); 1 (instruments) é catálogo global sem dono por desenho, junto com test_versions.mentor_id e report_content.version_id quando nulos (conteúdo compartilhado de propósito). Nenhuma tabela ficou sem caminho nenhum (0 ❌). ACHADO QUE MERECE ATENÇÃO: o cluster de Comunidade (community_posts e as 3 que herdam dela) tem caminho FRÁGIL — author_id aponta para auth.users, não para a conta, e resolver a conta de verdade exige escolher entre dois caminhos (team_members ou people) que nenhum JOIN único resolve; é o único ponto das 60 tabelas com risco real de um mentor ver dado de outro. Recomendação registrada: acrescentar owner_id/conta_id direto em community_posts, mesmo padrão já usado em eventos/notificacoes. ACHADO SECUNDÁRIO: 9 colunas de dono existem mas sem FOREIGN KEY aplicada (academy_banners, assessment_responses, biblioteca_materiais, biblioteca_pastas, eventos, export_logs, invite_links, notificacoes, treinamentos) — não vaza nada hoje, mas um valor errado não seria pego pelo banco. Nada disso foi corrigido agora — fica registrado em docs/auditoria-dono-do-dado.md para virar demanda própria, uma de cada vez, quando for a hora.</t>
        </is>
      </c>
    </row>
    <row r="216">
      <c r="A216" s="9" t="n">
        <v>215</v>
      </c>
      <c r="B216" s="9" t="inlineStr">
        <is>
          <t>Testar a ponte Claude Design -&gt; Claude Code</t>
        </is>
      </c>
      <c r="C216" s="9" t="inlineStr">
        <is>
          <t>Ao vivo, com um design real na mao: como trazer o link do design pro chat para discutir, e como importar o desenho direto para a construcao. Nao teorizar antes — fazer quando ele for mexer.</t>
        </is>
      </c>
      <c r="D216" s="9" t="inlineStr">
        <is>
          <t>Plataforma</t>
        </is>
      </c>
      <c r="E216" s="9" t="inlineStr">
        <is>
          <t>Planejado</t>
        </is>
      </c>
      <c r="F216" s="9" t="n">
        <v>215</v>
      </c>
      <c r="G216" s="9" t="inlineStr">
        <is>
          <t>Matheus</t>
        </is>
      </c>
      <c r="H216" s="9" t="inlineStr">
        <is>
          <t>Lembretes do iPhone, 30/07 21:49 (chat C1)</t>
        </is>
      </c>
      <c r="I216" s="9" t="inlineStr">
        <is>
          <t>Fora de fase no docs/roadmap-fases.md: e do fluxo de trabalho dele (cabeca -&gt; chat -&gt; design -&gt; construcao), nao da plataforma.</t>
        </is>
      </c>
    </row>
    <row r="217">
      <c r="A217" s="9" t="n">
        <v>216</v>
      </c>
      <c r="B217" s="9" t="inlineStr">
        <is>
          <t>Fechar os outros três buckets públicos (marca, eventos, comunidade)</t>
        </is>
      </c>
      <c r="C217" s="9" t="inlineStr">
        <is>
          <t>Mesma raiz de biblioteca e avatares: marca (logo), eventos (banner) e comunidade (anexo de post) continuam públicos — quem tem o link continua vendo depois de qualquer trancamento. Cada um precisa da mesma varredura tela a tela antes de fechar, porque fechar antes das telas assinarem faz a imagem sumir.</t>
        </is>
      </c>
      <c r="D217" s="9" t="inlineStr">
        <is>
          <t>Infra</t>
        </is>
      </c>
      <c r="E217" s="9" t="inlineStr">
        <is>
          <t>Concluído</t>
        </is>
      </c>
      <c r="F217" s="9" t="n">
        <v>216</v>
      </c>
      <c r="G217" s="9" t="inlineStr">
        <is>
          <t>Claude</t>
        </is>
      </c>
      <c r="H217" s="9" t="inlineStr">
        <is>
          <t>Varredura do Claude Code ao fechar biblioteca e avatares, 31/07</t>
        </is>
      </c>
      <c r="I217" s="9" t="inlineStr">
        <is>
          <t>Feito e provado em produção 01/08. Migração aditiva primeiro (assinatura de URL nos 10 pontos de leitura/preview: perfil/marca, e-mail, presença, agenda, comunidade, configurações), publicado e confirmado no ar pelo hash do commit (f433f83), só então a migração que fecha os buckets (public=false + DROP das 3 policies marca_leitura_publica, eventos_img_read, comunidade_leitura). Reprovado com login real DEPOIS do fechamento: logo da marca, imagem do evento e anexo de post continuam carregando (naturalWidth&gt;0) pelo link assinado /storage/v1/object/sign/..., não mais pelo link público antigo. Dados de teste apagados (posts, evento, grupo, perfil, os 3 arquivos e a conta), sessão do navegador de teste derrubada e confirmada (recarregar joga para a tela de login). Achado no caminho: o logo usado no e-mail de convite precisa de um prazo de validade maior que os outros (e-mail já enviado não recarrega a imagem) — usei 30 dias de validade só para esse caso.</t>
        </is>
      </c>
    </row>
    <row r="218">
      <c r="A218" s="9" t="n">
        <v>217</v>
      </c>
      <c r="B218" s="9" t="inlineStr">
        <is>
          <t>Banco separado para desenvolvimento</t>
        </is>
      </c>
      <c r="C218" s="9" t="inlineStr">
        <is>
          <t>Local e produção usam o mesmo banco Supabase. Toda mudança de banco atinge a produção no instante em que roda, mesmo com o código novo ainda parado no computador. DERRUBOU A PLATAFORMA DUAS VEZES EM 24H: imagem quebrada em 30/07 ao fechar os buckets, e o LOGIN quebrado em 31/07 ao renomear a permissão durante a migração do menu Mentorias. Criar um segundo projeto Supabase para desenvolvimento, com o mesmo schema e dados de teste, e apontar o .env.local para ele.</t>
        </is>
      </c>
      <c r="D218" s="9" t="inlineStr">
        <is>
          <t>Infra</t>
        </is>
      </c>
      <c r="E218" s="9" t="inlineStr">
        <is>
          <t>Planejado</t>
        </is>
      </c>
      <c r="F218" s="9" t="n">
        <v>217</v>
      </c>
      <c r="G218" s="9" t="inlineStr">
        <is>
          <t>Claude</t>
        </is>
      </c>
      <c r="H218" s="9" t="inlineStr">
        <is>
          <t>Tropeço em produção durante o fechamento dos buckets, 31/07</t>
        </is>
      </c>
      <c r="I218" s="9" t="inlineStr">
        <is>
          <t>Metade já resolvida em 31/07: a regra 5 da constituição (código no ar antes de banco que muda o que já existe) está gravada no CLAUDE.md e cobre a maioria dos casos sem custo nenhum. Esta demanda é a outra metade — a que resolve TODOS os casos. O que ela exige: criar o projeto, replicar o schema (supabase/estado/schema.sql já existe), semear dados de teste, apontar o .env.local, e decidir como as migrações passam de um para o outro. ATENÇÃO: hoje o .env commitado e o .env.local apontam para o MESMO projeto — foi assim desde a migração de banco. Separar exige cuidado para não repetir o cutover que já quebrou o login Google uma vez (ver memória publicacao-exige-cutover).</t>
        </is>
      </c>
    </row>
    <row r="219">
      <c r="A219" s="9" t="n">
        <v>218</v>
      </c>
      <c r="B219" s="9" t="inlineStr">
        <is>
          <t>Configurações da plataforma só o dono acessa</t>
        </is>
      </c>
      <c r="C219" s="9" t="inlineStr">
        <is>
          <t>'configuracoes' está na lista PERMISSOES (src/lib/team.functions.ts:21) como permissão delegável, ao lado de pessoas/grupos/testes. Um colaborador com todas as permissões pode trocar a marca, o logo, o nome da empresa e o e-mail de suporte — coisas que desconfiguram a plataforma inteira para todo mundo. Nenhum papel além do dono (colaborador, mentor convidado, aluno) pode alcançar isso. Não basta esconder o menu: a rota e as server functions têm de negar.</t>
        </is>
      </c>
      <c r="D219" s="9" t="inlineStr">
        <is>
          <t>Equipe / Permissões</t>
        </is>
      </c>
      <c r="E219" s="9" t="inlineStr">
        <is>
          <t>Concluído</t>
        </is>
      </c>
      <c r="F219" s="9" t="n">
        <v>218</v>
      </c>
      <c r="G219" s="9" t="inlineStr">
        <is>
          <t>Claude</t>
        </is>
      </c>
      <c r="H219" s="9" t="inlineStr">
        <is>
          <t>Matheus, 31/07: criou o colaborador 'sucesso do aluno' com todas as permissões e viu que ele alcança Configurações</t>
        </is>
      </c>
      <c r="I219" s="9" t="inlineStr">
        <is>
          <t>Trancado por dois lados. (1) 'configuracoes' saiu de PERMISSOES (era o 8º item, ao lado de pessoas/grupos/testes) e a migração 20260731120000_configuracoes_so_dono.sql tirou a permissão de quem já tinha em produção — o colaborador 'Sucesso do Aluno' ficou com as outras 7. (2) A tela e as server functions de Marca/Relatório/Mensagens/Emails/Agenda agora exigem member_kind()='owner' (exigirDono), tanto na rota quanto em cada function que grava — upsertConfiguracoesConta, getEmailStatus/listEmailLogs/sendTestEmail, estadoDoGoogle/iniciarConexaoGoogle/desconectarGoogle. 'Perfil' (nome+foto) foi separado antes de trancar: é genuinamente pessoal e continua aberto a qualquer logado, via upsertMyProfile com schema próprio (perfilPessoalSchema). Provado com login real: colaborador com as 7 permissões vê só 'Meu perfil' no menu e é negado ao chamar upsertConfiguracoesConta direto no servidor ('Só o dono da conta pode gerenciar a equipe'); mentor convidado idem; dono continua vendo as 6 abas e salvando normalmente, marca real (INTENÇÃO ASSESSEMENT, #00b0f0) confirmada intacta depois de todos os testes. Achado de passagem (item 6 do pedido): learning.functions.ts (Academy) tinha os 10 writes sem nenhuma checagem de permissão — mesmo buraco que biblioteca.functions.ts tinha antes desta sessão; fechado com exigirPermissao(...,'educacao'). Commit 466a5b1 (31/07).</t>
        </is>
      </c>
    </row>
    <row r="220">
      <c r="A220" s="9" t="n">
        <v>219</v>
      </c>
      <c r="B220" s="9" t="inlineStr">
        <is>
          <t>A marca do dono não chega ao aluno, mentor e colaborador</t>
        </is>
      </c>
      <c r="C220" s="9" t="inlineStr">
        <is>
          <t>Mudar logo, nome e cor nas Configurações só muda a tela do dono. A causa: loadBrandAndSettings busca profiles pelo user_id de QUEM ESTÁ LOGADO, e aluno, colaborador e mentor têm perfil próprio sem marca — caem no padrão da plataforma. A marca tem de vir sempre do DONO da conta (acting_account()), em todo painel e todo papel. REGRA: o master mudou, muda para todos, na hora.</t>
        </is>
      </c>
      <c r="D220" s="9" t="inlineStr">
        <is>
          <t>Plataforma</t>
        </is>
      </c>
      <c r="E220" s="9" t="inlineStr">
        <is>
          <t>Concluído</t>
        </is>
      </c>
      <c r="F220" s="9" t="n">
        <v>219</v>
      </c>
      <c r="G220" s="9" t="inlineStr">
        <is>
          <t>Claude</t>
        </is>
      </c>
      <c r="H220" s="9" t="inlineStr">
        <is>
          <t>Matheus, 31/07: mudou a marca no master e o painel do aluno continuou com a antiga</t>
        </is>
      </c>
      <c r="I220" s="9" t="inlineStr">
        <is>
          <t>FEITO E EM PRODUÇÃO. Causa: BrandProvider (sidebar/cabeçalho de quem está logado) buscava profiles pelo user_id de QUEM ESTAVA LOGADO (getMyProfile) — colaborador, mentor convidado e aluno têm perfil próprio sem marca nenhuma, caíam sempre no padrão da plataforma. Só o dono via a marca certa, porque para ele "meu perfil" e "conta" são a mesma linha. Conserto: getAccountBrand (nova, data.functions.ts) resolve o DONO de verdade antes de buscar a marca — usa membershipDoUsuario (mesma fonte de getMyMembership) para achar a conta de mentor/colaborador, e só para aluno puro busca o mentor em people.mentor_id (acting_account() sozinha não serve: só conhece team_members, devolveria o próprio id do aluno). Reaproveita loadBrandAndSettings, a mesma função das páginas públicas. /aluno tinha bug à parte: as 3 &lt;BrandMark /&gt; do layout nunca recebiam brand nenhum — nem existia BrandProvider ali. Ligado. PROVADO com login real, local e depois em produção: dono vê a própria marca; colaborador, mentor convidado e aluno (o papel que motivou a demanda) passam a ver a marca do DONO em vez do padrão da plataforma; link público (convite, sem login) continua mostrando a marca do mentor do link, intacto — não foi tocado. Dono que também é avaliado em outra conta (caso real já existente) continua vendo a PRÓPRIA marca, não a de quem o avalia. Dados de teste apagados e sessões derrubadas ao final. #235 (ícone/manifest) pode começar agora que esta está pronta. Commit 1b3cb50 (03/08), publicado e conferido no ar.</t>
        </is>
      </c>
    </row>
    <row r="221">
      <c r="A221" s="9" t="n">
        <v>220</v>
      </c>
      <c r="B221" s="9" t="inlineStr">
        <is>
          <t>Painel de engajamento: quem está sumindo</t>
        </is>
      </c>
      <c r="C221" s="9" t="inlineStr">
        <is>
          <t>Tela que mostra atividade e engajamento por aluno e por grupo: presença nas aulas, testes respondidos, progresso nas trilhas, último acesso. O objetivo não é medir por medir — é o mentor perceber que alguém está sumindo ANTES de perder a pessoa.</t>
        </is>
      </c>
      <c r="D221" s="9" t="inlineStr">
        <is>
          <t>Academy</t>
        </is>
      </c>
      <c r="E221" s="9" t="inlineStr">
        <is>
          <t>Concluído</t>
        </is>
      </c>
      <c r="F221" s="9" t="n">
        <v>220</v>
      </c>
      <c r="G221" s="9" t="inlineStr">
        <is>
          <t>Claude</t>
        </is>
      </c>
      <c r="H221" s="9" t="inlineStr">
        <is>
          <t>Matheus, 31/07: rodada de perguntas sobre o futuro da plataforma</t>
        </is>
      </c>
      <c r="I221" s="9" t="inlineStr">
        <is>
          <t>ABSORVIDA pela #237 em 01/08, por decisão do Matheus: o painel de engajamento passa a ser uma função dentro do menu Dashboard, não uma tela própria. O conteúdo sobrevive inteiro na spec (docs/plano-dashboard.md, seção 'O bloco de engajamento'), com o critério proposto: sem nenhuma atividade há mais de 14 dias. Registro fechado aqui para não haver duas demandas para a mesma tela.</t>
        </is>
      </c>
    </row>
    <row r="222">
      <c r="A222" s="9" t="n">
        <v>221</v>
      </c>
      <c r="B222" s="9" t="inlineStr">
        <is>
          <t>Certificado de conclusão com verificação pública</t>
        </is>
      </c>
      <c r="C222" s="9" t="inlineStr">
        <is>
          <t>Emitir certificado quando o aluno concluir uma trilha da Academy ou um treinamento do Classroom. Precisa de três coisas: a regra do que conta como concluído, o desenho do certificado, e um código de verificação — página pública onde a empresa confere se aquele certificado é real.</t>
        </is>
      </c>
      <c r="D222" s="9" t="inlineStr">
        <is>
          <t>Academy</t>
        </is>
      </c>
      <c r="E222" s="9" t="inlineStr">
        <is>
          <t>Planejado</t>
        </is>
      </c>
      <c r="F222" s="9" t="n">
        <v>221</v>
      </c>
      <c r="G222" s="9" t="inlineStr">
        <is>
          <t>Claude</t>
        </is>
      </c>
      <c r="H222" s="9" t="inlineStr">
        <is>
          <t>Matheus, 31/07: rodada de perguntas sobre o futuro da plataforma</t>
        </is>
      </c>
      <c r="I222" s="9" t="inlineStr">
        <is>
          <t>learning_progress já sabe quem terminou o quê, e a plataforma já gera PDF com marca no relatório. Sem a verificação pública, certificado é figurinha — é ela que dá valor.</t>
        </is>
      </c>
    </row>
    <row r="223">
      <c r="A223" s="9" t="n">
        <v>222</v>
      </c>
      <c r="B223" s="9" t="inlineStr">
        <is>
          <t>App do aluno para Android e iOS</t>
        </is>
      </c>
      <c r="C223" s="9" t="inlineStr">
        <is>
          <t>Só a versão do aluno. Três caminhos: PWA (o aluno adiciona à tela de início, funciona hoje com pouco trabalho, não vai às lojas), Capacitor (empacota o mesmo código e publica nas lojas, semanas de trabalho) ou nativo (caro, não se justifica). Recomendação: PWA primeiro, lojas depois se houver demanda.</t>
        </is>
      </c>
      <c r="D223" s="9" t="inlineStr">
        <is>
          <t>Plataforma</t>
        </is>
      </c>
      <c r="E223" s="9" t="inlineStr">
        <is>
          <t>Planejado</t>
        </is>
      </c>
      <c r="F223" s="9" t="n">
        <v>222</v>
      </c>
      <c r="G223" s="9" t="inlineStr">
        <is>
          <t>Claude</t>
        </is>
      </c>
      <c r="H223" s="9" t="inlineStr">
        <is>
          <t>Matheus, 31/07: rodada de perguntas sobre o futuro da plataforma</t>
        </is>
      </c>
      <c r="I223" s="9" t="inlineStr">
        <is>
          <t>⚠️ DECISÃO DE NEGÓCIO ANTES: se o app vender qualquer coisa por dentro, a Apple cobra 15-30% e obriga o pagamento dela. É por isso que plataforma de curso costuma deixar a venda fora do app.</t>
        </is>
      </c>
    </row>
    <row r="224">
      <c r="A224" s="9" t="n">
        <v>223</v>
      </c>
      <c r="B224" s="9" t="inlineStr">
        <is>
          <t>Carteirinha digital do aluno</t>
        </is>
      </c>
      <c r="C224" s="9" t="inlineStr">
        <is>
          <t>Credencial que o aluno apresenta em estabelecimento parceiro para provar nível e obter vantagem. QR code, página pública de validação, nível e foto.</t>
        </is>
      </c>
      <c r="D224" s="9" t="inlineStr">
        <is>
          <t>Academy</t>
        </is>
      </c>
      <c r="E224" s="9" t="inlineStr">
        <is>
          <t>Planejado</t>
        </is>
      </c>
      <c r="F224" s="9" t="n">
        <v>223</v>
      </c>
      <c r="G224" s="9" t="inlineStr">
        <is>
          <t>Claude</t>
        </is>
      </c>
      <c r="H224" s="9" t="inlineStr">
        <is>
          <t>Matheus, 31/07: rodada de perguntas sobre o futuro da plataforma</t>
        </is>
      </c>
      <c r="I224" s="9" t="inlineStr">
        <is>
          <t>É a cara visível do clube de benefícios. SOZINHA vale pouco — bonita e sem uso. Só faz sentido depois de existirem parceiros e níveis de verdade.</t>
        </is>
      </c>
    </row>
    <row r="225">
      <c r="A225" s="9" t="n">
        <v>224</v>
      </c>
      <c r="B225" s="9" t="inlineStr">
        <is>
          <t>Clube de benefícios e jornada de recompensas</t>
        </is>
      </c>
      <c r="C225" s="9" t="inlineStr">
        <is>
          <t>Aluno acumula pontos, alcança níveis e desbloqueia benefícios em parceiros ou dentro do próprio ecossistema. Pontos e ranking já existem; falta níveis, catálogo de benefícios, cadastro de parceiro e validação no balcão.</t>
        </is>
      </c>
      <c r="D225" s="9" t="inlineStr">
        <is>
          <t>Academy</t>
        </is>
      </c>
      <c r="E225" s="9" t="inlineStr">
        <is>
          <t>Planejado</t>
        </is>
      </c>
      <c r="F225" s="9" t="n">
        <v>224</v>
      </c>
      <c r="G225" s="9" t="inlineStr">
        <is>
          <t>Claude</t>
        </is>
      </c>
      <c r="H225" s="9" t="inlineStr">
        <is>
          <t>Matheus, 31/07: rodada de perguntas sobre o futuro da plataforma</t>
        </is>
      </c>
      <c r="I225" s="9" t="inlineStr">
        <is>
          <t>⚠️ É um SEGUNDO PRODUTO, não uma feature. O trabalho difícil é comercial, não técnico: negociar parceiro, desenhar o benefício, operar a validação. A tabela pontos já existe e é a parte fácil.</t>
        </is>
      </c>
    </row>
    <row r="226">
      <c r="A226" s="9" t="n">
        <v>225</v>
      </c>
      <c r="B226" s="9" t="inlineStr">
        <is>
          <t>Integrações externas: pagamento, Notion, Trello, WhatsApp, redes</t>
        </is>
      </c>
      <c r="C226" s="9" t="inlineStr">
        <is>
          <t>Quatro grupos com dificuldades muito diferentes. Notion e Trello: API aberta, fácil. Pagamento (Stripe, Mercado Pago, Asaas): direto, cerca de uma semana. WhatsApp: API oficial da Meta exige empresa verificada, número dedicado e cobra por conversa; o resto do mercado usa gambiarra que a Meta derruba. Redes sociais: publicar por API é muito limitado, o Instagram praticamente não deixa.</t>
        </is>
      </c>
      <c r="D226" s="9" t="inlineStr">
        <is>
          <t>Integrações</t>
        </is>
      </c>
      <c r="E226" s="9" t="inlineStr">
        <is>
          <t>Planejado</t>
        </is>
      </c>
      <c r="F226" s="9" t="n">
        <v>225</v>
      </c>
      <c r="G226" s="9" t="inlineStr">
        <is>
          <t>Claude</t>
        </is>
      </c>
      <c r="H226" s="9" t="inlineStr">
        <is>
          <t>Matheus, 31/07: rodada de perguntas sobre o futuro da plataforma</t>
        </is>
      </c>
      <c r="I226" s="9" t="inlineStr">
        <is>
          <t>Fazer uma a uma, nunca em bloco. Depende da demanda #59 (escopo por chave, uso e revogação), que existe justamente porque integração é chave de terceiro entrando na casa.</t>
        </is>
      </c>
    </row>
    <row r="227">
      <c r="A227" s="9" t="n">
        <v>226</v>
      </c>
      <c r="B227" s="9" t="inlineStr">
        <is>
          <t>Colaborador sem permissão não vê nada daquele menu — nem a leitura</t>
        </is>
      </c>
      <c r="C227" s="9" t="inlineStr">
        <is>
          <t>DECIDIDO pelo Matheus em 31/07: colaborador sem a permissão de uma área não tem acesso a NADA daquela área — nem escrita, nem leitura. Vale para a Academy (trilhas publicadas ou não) e para toda área com o mesmo padrão frouxo: hoje a regra de leitura olha só se o conteúdo é da conta, sem checar permissão. A escrita já foi trancada em 466a5b1; falta a leitura.</t>
        </is>
      </c>
      <c r="D227" s="9" t="inlineStr">
        <is>
          <t>Academy</t>
        </is>
      </c>
      <c r="E227" s="9" t="inlineStr">
        <is>
          <t>Concluído</t>
        </is>
      </c>
      <c r="F227" s="9" t="n">
        <v>226</v>
      </c>
      <c r="G227" s="9" t="inlineStr">
        <is>
          <t>Claude</t>
        </is>
      </c>
      <c r="H227" s="9" t="inlineStr">
        <is>
          <t>Claude Code, 31/07, ao fechar #218 — corrigindo uma presunção anterior dele</t>
        </is>
      </c>
      <c r="I227" s="9" t="inlineStr">
        <is>
          <t>Trancado nas 5 áreas com o mesmo padrão: Academy (listTracks/getTrack), Biblioteca (listarBiblioteca/listarBanners), Comunidade (listarFeed/membrosDosGrupos), Ranking por grupo (rankingDoGrupo) e a Agenda/Gestão da equipe (agendaDoMes, só o ramo sem 'somenteMinhas'). Todas seguem 'equipe da conta vê tudo' na RLS (owner_id = acting_account()), sem noção de permissão por funcionalidade — colaborador sem a permissão entrava pela mesma porta que dono/mentor. exigirPermissaoOuVisitante (permissao.server.ts) fecha isso sem quebrar quem só vê o próprio: owner/mentor/aluno passam direto (RLS já recorta certo pra eles), só colaborador precisa da permissão. getTrackDestinos (só quem edita) levou o exigirPermissao simples. De passagem: criarEvento/excluirEvento diziam 'só o master' no comentário mas não checavam nada — ganharam exigirDono; o CRUD legado de mentors (sem rota ativa) também. Provado com login real, local e em produção: colaborador com as 7 permissões passa em tudo; sem educacao/grupos/devolutivas, negado em tudo (inclusive chamando o servidor direto, conferido pelo corpo da resposta, não só pela tela); aluno de verdade (people.user_id ligado) intacto nas 5 áreas — testado abrindo material real da Biblioteca com URL assinada; mentor igual, e barrado ao tentar a agenda da equipe via chamada direta; dono sem mudança nenhuma, avatar e marca carregando. Commit 320c08b (31/07).</t>
        </is>
      </c>
    </row>
    <row r="228">
      <c r="A228" s="9" t="n">
        <v>227</v>
      </c>
      <c r="B228" s="9" t="inlineStr">
        <is>
          <t>Conta sem vínculo nenhum vira dona de si mesma</t>
        </is>
      </c>
      <c r="C228" s="9" t="inlineStr">
        <is>
          <t>Uma pessoa que cria conta sem nunca ter sido convidada ou cadastrada por ninguém vira 'dona' de uma conta vazia e isolada — e consegue salvar configurações lá dentro. Não vaza nem toca a conta de ninguém: o que ela salva fica só no vazio dela. Mas o comportamento existe e ninguém desenhou.</t>
        </is>
      </c>
      <c r="D228" s="9" t="inlineStr">
        <is>
          <t>Infra</t>
        </is>
      </c>
      <c r="E228" s="9" t="inlineStr">
        <is>
          <t>Planejado</t>
        </is>
      </c>
      <c r="F228" s="9" t="n">
        <v>227</v>
      </c>
      <c r="G228" s="9" t="inlineStr">
        <is>
          <t>Matheus</t>
        </is>
      </c>
      <c r="H228" s="9" t="inlineStr">
        <is>
          <t>Claude Code, 31/07, testando o papel de aluno ao fechar #218</t>
        </is>
      </c>
      <c r="I228" s="9" t="inlineStr">
        <is>
          <t>Confirmado por ele com pessoa de teste sem vínculo: salvou na própria conta isolada; a marca do Matheus ficou intacta. NÃO é brecha da correção #218 nem vazamento — é decisão de arquitetura pendente: o que uma conta 'solta' pode fazer antes de ser convidada por alguém. Vira relevante quando a plataforma abrir cadastro público ou virar SaaS de verdade (regra 2 da constituição). Hoje o acesso nasce de convite, então não há caso real.</t>
        </is>
      </c>
    </row>
    <row r="229">
      <c r="A229" s="9" t="n">
        <v>228</v>
      </c>
      <c r="B229" s="9" t="inlineStr">
        <is>
          <t>Mentorias Fatia 2: a voz do aluno</t>
        </is>
      </c>
      <c r="C229" s="9" t="inlineStr">
        <is>
          <t>Avaliação por estrelas (1-5) ao fim da sessão, comentário do aluno e arquivos anexados ao resumo. Decisões do Matheus em 01/08: estrelas e não NPS (a média é SATISFAÇÃO/CSAT, e deve ser chamada assim — NPS é outra pergunta e outra conta); avaliação IDENTIFICADA (numa mentoria 1:1 o anônimo é ficção); e UMA VEZ SÓ, sem editar depois. Spec em docs/plano-mentorias-fatia2.md.</t>
        </is>
      </c>
      <c r="D229" s="9" t="inlineStr">
        <is>
          <t>Plataforma</t>
        </is>
      </c>
      <c r="E229" s="9" t="inlineStr">
        <is>
          <t>Concluído</t>
        </is>
      </c>
      <c r="F229" s="9" t="n">
        <v>228</v>
      </c>
      <c r="G229" s="9" t="inlineStr">
        <is>
          <t>Claude</t>
        </is>
      </c>
      <c r="H229" s="9" t="inlineStr">
        <is>
          <t>Matheus, 31/07: detalhamento do menu Mentorias</t>
        </is>
      </c>
      <c r="I229" s="9" t="inlineStr">
        <is>
          <t>Migração puramente aditiva (3 colunas em mentoria_sessoes, tabela mentoria_arquivos, RPC avaliar_sessao_mentoria, bucket 'mentorias' privado nascendo certo — 20 MB, link assinado de 10 min, sem nenhuma policy de SELECT em storage.objects). PROVADO com login real em produção os 8 itens da seção 5 de docs/plano-mentorias-fatia2.md: professor conclui e anexa arquivo; aluno vê o arquivo, baixa, avalia com 4 estrelas e comenta (o teste decisivo); aluno tenta avaliar de novo — negado direto na RPC; aluno tenta avaliar sessão ainda agendada — negado; professor vê nota, comentário e nome do aluno; média no cabeçalho com contagem certa ('4,5 (2 avaliações)'); professor tenta avaliar por fora — negado, isolado numa sessão concluída e não avaliada; link do arquivo expira em 10 min sem login — confirmado pelo token (exp-iat=600) funcionando dentro da janela e recusado depois. O seletor nativo de arquivo não é acessível pelas ferramentas de automação (bloqueio de segurança do navegador); o upload e o registro foram provados chamando o mesmo caminho real (SDK de Storage + tabela mentoria_arquivos) com o token de sessão do professor de teste, incluindo tentativa negada na pasta de outro usuário.</t>
        </is>
      </c>
    </row>
    <row r="230">
      <c r="A230" s="9" t="n">
        <v>229</v>
      </c>
      <c r="B230" s="9" t="inlineStr">
        <is>
          <t>Mentorias Fatia 3: painel do professor</t>
        </is>
      </c>
      <c r="C230" s="9" t="inlineStr">
        <is>
          <t>NPS médio, média de duração dos encontros, quantas faltam agendar, visão geral (todos os alunos) e individual (aluno a aluno, encontro a encontro).</t>
        </is>
      </c>
      <c r="D230" s="9" t="inlineStr">
        <is>
          <t>Plataforma</t>
        </is>
      </c>
      <c r="E230" s="9" t="inlineStr">
        <is>
          <t>Planejado</t>
        </is>
      </c>
      <c r="F230" s="9" t="n">
        <v>229</v>
      </c>
      <c r="G230" s="9" t="inlineStr">
        <is>
          <t>Claude</t>
        </is>
      </c>
      <c r="H230" s="9" t="inlineStr">
        <is>
          <t>Matheus, 31/07: detalhamento do menu Mentorias</t>
        </is>
      </c>
      <c r="I230" s="9" t="inlineStr">
        <is>
          <t>Só faz sentido com sessões reais na base — antes disso qualquer média mente. Depende da Fatia 2 para o NPS.</t>
        </is>
      </c>
    </row>
    <row r="231">
      <c r="A231" s="9" t="n">
        <v>230</v>
      </c>
      <c r="B231" s="9" t="inlineStr">
        <is>
          <t>Mentorias Fatia 4a: link de auto-agendamento (o que faz existir)</t>
        </is>
      </c>
      <c r="C231" s="9" t="inlineStr">
        <is>
          <t>Disponibilidade por dia com faixas, MÚLTIPLOS links (um de 1h, outro de 2h, cada um com regras próprias), página do aluno sem login mas com verificação de e-mail cadastrado, janela de programação, intervalo configurável entre compromissos e teto por dia. Bloqueia pelo que está na plataforma. Spec em docs/plano-mentorias-fatia4.md.</t>
        </is>
      </c>
      <c r="D231" s="9" t="inlineStr">
        <is>
          <t>Plataforma</t>
        </is>
      </c>
      <c r="E231" s="9" t="inlineStr">
        <is>
          <t>Concluído</t>
        </is>
      </c>
      <c r="F231" s="9" t="n">
        <v>230</v>
      </c>
      <c r="G231" s="9" t="inlineStr">
        <is>
          <t>Claude</t>
        </is>
      </c>
      <c r="H231" s="9" t="inlineStr">
        <is>
          <t>Matheus, 31/07: detalhamento do menu Mentorias</t>
        </is>
      </c>
      <c r="I231" s="9" t="inlineStr">
        <is>
          <t>NO AR e provado com login real em produção (matheusguedes@metodointencao.com.br, commit 08cc904). Migração aditiva: mentoria_disponibilidade e mentoria_links novas, mentoria_sessoes ganha origem/link_id/confirmado_em, mais uma trava de corrida no banco (EXCLUDE USING gist) para duas pessoas nunca ocuparem o mesmo horário do mesmo professor ao mesmo tempo. Núcleo (cálculo de horários livres): faixa Segunda 9h-12h + link de 1h com 30 min de intervalo — SEM reserva, oferece 9h/10h/11h; RESERVANDO 9h, o próximo vira exatamente 10h30 (o exemplo da spec, batido). O link de 2h no MESMO dia perde o dia inteiro da lista (nenhum encaixe de 2h sobra) — prova ao mesmo tempo o corte por tamanho e a limpeza entre links. Teto por dia (1) tira o dia da lista quando já bateu. Desativar um link derruba a página (link indisponível) sem apagar a sessão já marcada. TESTE DECISIVO: e-mail não cadastrado é recusado com 'Este e-mail não está cadastrado. Fale com quem te enviou este link.' — sem mensagem genérica. E-mail cadastrado mostra o nome da pessoa, agenda, e a sessão aparece na hora no pacote dela (contagem 'a agendar' desce sozinha), na agenda/painel do professor (com notificação) e no painel do aluno (calendário e lista 'Marcadas'). Tudo repetido em produção com o mesmo e-mail de teste, dados apagados ao final (pessoa, pacote, sessões, os 2 links e a faixa de disponibilidade de teste). RESSALVA: um evento de teste chegou a ser criado na agenda real do Google do Matheus (Mentoria · Aluno Teste Agendamento, 10/08 10:30) — o app não expõe hoje um botão de cancelar sessão que também apague do Google, então esse evento específico precisa ser apagado à mão por ele no Google Calendar (achado registrado para uma futura demanda). FORA DESTA FATIA, de propósito: bloqueio pela agenda pessoal do Google e cancelar/remarcar pelo aluno (4b, depende do Matheus reconectar o Google); foto, local/videoconferência, formulário personalizável e lembretes (4c).</t>
        </is>
      </c>
    </row>
    <row r="232">
      <c r="A232" s="9" t="n">
        <v>231</v>
      </c>
      <c r="B232" s="9" t="inlineStr">
        <is>
          <t>Classroom: aluno avalia a aula com estrelas depois que ela termina</t>
        </is>
      </c>
      <c r="C232" s="9" t="inlineStr">
        <is>
          <t>Passado o horário de fim da aula (termina_em, que já existe), quem teve presença marcada pode dar 1 a 5 estrelas e escrever um comentário. Mesmas regras da avaliação de mentoria: identificada, comentário opcional, uma vez só garantido no banco. Diferença importante: a aula é 1 para muitos, então precisa de tabela própria com um registro por pessoa por aula — não dá para pendurar colunas na aula como foi feito em mentoria_sessoes. Média sempre com a contagem ao lado. Presença por QR e presença marcada à mão valem igual.</t>
        </is>
      </c>
      <c r="D232" s="9" t="inlineStr">
        <is>
          <t>Classroom</t>
        </is>
      </c>
      <c r="E232" s="9" t="inlineStr">
        <is>
          <t>Planejado</t>
        </is>
      </c>
      <c r="F232" s="9" t="n">
        <v>231</v>
      </c>
      <c r="G232" s="9" t="inlineStr">
        <is>
          <t>Claude</t>
        </is>
      </c>
      <c r="H232" s="9" t="inlineStr">
        <is>
          <t>Matheus, 31/07: detalhamento do menu Mentorias</t>
        </is>
      </c>
      <c r="I232" s="9" t="inlineStr">
        <is>
          <t>Reaproveita a avaliação da Fatia 2. termina_em já existe em treinamento_aulas e o vínculo de presença em treinamento_presencas. Decisões confirmadas com o Matheus em 05/08.</t>
        </is>
      </c>
    </row>
    <row r="233">
      <c r="A233" s="9" t="n">
        <v>232</v>
      </c>
      <c r="B233" s="9" t="inlineStr">
        <is>
          <t>Quatro telas mostram lista vazia em vez de avisar que falta permissão</t>
        </is>
      </c>
      <c r="C233" s="9" t="inlineStr">
        <is>
          <t>Equipe, comunidade, ranking do grupo e quem-acessa não checam o erro de permissão negada: quando o servidor barra, a tela mostra lista vazia como se não houvesse nada. Quem não tem acesso pensa que o conteúdo não existe, e quem deveria ter acesso acha que perdeu o dado. Mesmo bug já corrigido em mentorias-page.tsx.</t>
        </is>
      </c>
      <c r="D233" s="9" t="inlineStr">
        <is>
          <t>Plataforma</t>
        </is>
      </c>
      <c r="E233" s="9" t="inlineStr">
        <is>
          <t>Concluído</t>
        </is>
      </c>
      <c r="F233" s="9" t="n">
        <v>232</v>
      </c>
      <c r="G233" s="9" t="inlineStr">
        <is>
          <t>Claude</t>
        </is>
      </c>
      <c r="H233" s="9" t="inlineStr">
        <is>
          <t>Claude Code, 01/08, achado ao fechar o menu Mentorias</t>
        </is>
      </c>
      <c r="I233" s="9" t="inlineStr">
        <is>
          <t>Feito e provado em produção 01/08. Achado no caminho: o conserto já tinha sido feito e testado numa sessão anterior (comunidade, ranking do grupo e a metade Grupos de quem-acessa), mas ficou preso num branch que nunca foi mesclado — nunca chegou a publicar. Reaplicado via cherry-pick (commit f99ffb2), typecheck+build OK, reprovado com login real: colaborador de teste sem a permissão grupos via /comunidades, /grupos/:id (ranking) e o diálogo Nova trilha (quem-acessa) — as três mostram "Você não tem acesso a esta área." em vez de lista vazia. Restaurada a permissão depois, tela volta ao normal. Equipe (team-page.tsx) foi reconferido do zero e CONFIRMADO que não tem esse bug: listTeamMembers depende só da RLS do banco, não existe erro de permissão pra essa tela capturar — por isso não faz parte do conserto.
RECONFERIDO em 03/08, a pedido do Matheus ('confira se ainda existe'): nenhum dos 3 arquivos (_app.comunidades.tsx, _app.grupos.$id.tsx, quem-acessa.tsx) foi tocado por nenhum commit desde f99ffb2 — lido o código atual dos três e confirmado que o tratamento de erro (error/isError exibindo a mensagem do servidor em vez de lista vazia) continua exatamente como descrito acima. Nenhuma mudança feita — não havia o que corrigir.</t>
        </is>
      </c>
    </row>
    <row r="234">
      <c r="A234" s="9" t="n">
        <v>233</v>
      </c>
      <c r="B234" s="9" t="inlineStr">
        <is>
          <t>Varredura completa: o kanban mente sobre o que já está pronto</t>
        </is>
      </c>
      <c r="C234" s="9" t="inlineStr">
        <is>
          <t>Duas provas em 01/08 de que o quadro não é confiável. PRIMEIRA: trabalho pronto preso em branch que nunca chegou à main (claude/lucid-burnell tinha a correção da #232 feita e testada; claude/keen-chebyshev tinha um conserto de escala linear nunca commitado, que virou a #234). SEGUNDA, e pior: SEIS demandas de Agenda marcadas como pendentes já estavam prontas — a conexão com o Google funciona e sincronizou evento hoje, a renovação de token existe, o fim do evento é enviado. Varrer TODAS as áreas, não só permissão/buckets/mentorias.</t>
        </is>
      </c>
      <c r="D234" s="9" t="inlineStr">
        <is>
          <t>Gestão do projeto</t>
        </is>
      </c>
      <c r="E234" s="9" t="inlineStr">
        <is>
          <t>Concluído</t>
        </is>
      </c>
      <c r="F234" s="9" t="n">
        <v>233</v>
      </c>
      <c r="G234" s="9" t="inlineStr">
        <is>
          <t>Claude</t>
        </is>
      </c>
      <c r="H234" s="9" t="inlineStr">
        <is>
          <t>Claude Code, 01/08, ao corrigir a #232 — achou o próprio conserto preso num branch</t>
        </is>
      </c>
      <c r="I234" s="9" t="inlineStr">
        <is>
          <t>Fechado em 03/08. A varredura completa das 11 áreas foi feita e entregue: 237 demandas conferidas, 36 registros errados achados (17 já feitas sem registro, ~19 dadas como feitas sem estar no ar, 6 genuinamente quebradas) — o Matheus conferiu os 3 mais graves por fora e todos procederam. Restava só decidir o branch órfão claude/ecstatic-bun-50995d (capa da trilha com upload e recorte, achado ao lado da #234/#232). Revisado hoje: fazia sentido — mesmo padrão já usado em material/pasta/banner (#23), nada mudou nesses arquivos desde então (git log confirma zero commits em track-view.tsx/learning.functions.ts no meio termo), cherry-pick limpo, sem conflito. Testado de verdade (não só confiado na prova antiga): subi uma imagem sintética, recortei, salvei, conferi o card na prateleira mostrando a capa e o banco guardando um identificador do bucket, não o link assinado que expira. Dado de teste revertido e arquivo apagado do bucket ao final. Commit e100ccc; branch e worktree apagados.</t>
        </is>
      </c>
    </row>
    <row r="235">
      <c r="A235" s="9" t="n">
        <v>234</v>
      </c>
      <c r="B235" s="9" t="inlineStr">
        <is>
          <t>Editar pergunta de escala linear apaga 'reverse' e 'check_group'</t>
        </is>
      </c>
      <c r="C235" s="9" t="inlineStr">
        <is>
          <t>O editor salva o config com cinco campos fixos — onUpdate({min,max,minLabel,maxLabel,dimension_id}) — sobrescrevendo o config inteiro. Toda edição de uma pergunta de escala linear APAGA as outras chaves: 'reverse' (a inversão de metade dos itens do Big Five) e 'check_group' (o par de checagem que alimenta o selo de confiabilidade). O resultado do teste continua saindo, errado, com cara de certo. O conserto são 3 linhas: espalhar o config existente antes de sobrescrever.</t>
        </is>
      </c>
      <c r="D235" s="9" t="inlineStr">
        <is>
          <t>Testes</t>
        </is>
      </c>
      <c r="E235" s="9" t="inlineStr">
        <is>
          <t>Concluído</t>
        </is>
      </c>
      <c r="F235" s="9" t="n">
        <v>234</v>
      </c>
      <c r="G235" s="9" t="inlineStr">
        <is>
          <t>Claude</t>
        </is>
      </c>
      <c r="H235" s="9" t="inlineStr">
        <is>
          <t>Chat, 01/08, ao avaliar o branch keen-chebyshev — o Code apontou o sintoma, o chat achou que a causa era outra</t>
        </is>
      </c>
      <c r="I235" s="9" t="inlineStr">
        <is>
          <t>FEITO E EM PRODUÇÃO. LinearScaleEditor (_app.testes.$versionId.editar.tsx) agora espalha o config existente antes de sobrescrever — onUpdate({...cfg, min, max, minLabel, maxLabel, ...(dimId ? {dimension_id: dimId} : {})}) — em vez de trocar o config inteiro por 5 campos fixos. E quando o dimension_id salvo não bate com nenhuma dimensão atual (órfão), não chuta mais a primeira da lista: fica em aberto até o mentor escolher de verdade, sem sobrescrever o que já estava gravado. PROVA (pergunta 26f5148e-9185-4888-8a2f-3d7b464f433e, Big Five, versão 7c6d0667): ANTES do conserto, editar e salvar apagou reverse e check_group do banco (confirmado por REST, e dado restaurado na hora). DEPOIS do conserto, o mesmo teste — local e depois em produção, com login real do colaborador — manteve as duas chaves intactas, junto com dimension_id e os rótulos. Extraído do worktree claude/keen-chebyshev-176740 (branch e worktree apagados): só o conserto do editor veio; o remapeamento de dimensão ao duplicar já estava em produção via remapQuestionConfig (815a3b3), e a migração SQL do branch não achou nenhuma das 50 perguntas de escala linear com referência quebrada — nada para reparar. Commit 490dfe4 (01/08), publicado e conferido no ar.</t>
        </is>
      </c>
    </row>
    <row r="236">
      <c r="A236" s="9" t="n">
        <v>235</v>
      </c>
      <c r="B236" s="9" t="inlineStr">
        <is>
          <t>Ícone da conta e app instalável no celular (manifest)</t>
        </is>
      </c>
      <c r="C236" s="9" t="inlineStr">
        <is>
          <t>Quando o dono sobe um ícone, ele deve ser a imagem que aparece na tela do celular de quem instalar a plataforma como aplicativo — dele e do aluno. HOJE NADA DISSO EXISTE: não há campo de ícone nas Configurações (o profile só tem logo_url), não há manifest, e a plataforma NÃO é instalável. Só existe um favicon.ico fixo da plataforma. Precisa de: campo de ícone, manifest gerado por conta (nome + ícone + cor da marca) e as meta tags de app.</t>
        </is>
      </c>
      <c r="D236" s="9" t="inlineStr">
        <is>
          <t>Plataforma</t>
        </is>
      </c>
      <c r="E236" s="9" t="inlineStr">
        <is>
          <t>Concluído</t>
        </is>
      </c>
      <c r="F236" s="9" t="n">
        <v>235</v>
      </c>
      <c r="G236" s="9" t="inlineStr">
        <is>
          <t>Claude</t>
        </is>
      </c>
      <c r="H236" s="9" t="inlineStr">
        <is>
          <t>Matheus, 01/08: 'o ícone deve ser a imagem na tela do celular em modo aplicativo'</t>
        </is>
      </c>
      <c r="I236" s="9" t="inlineStr">
        <is>
          <t>CÓDIGO PRONTO, publicado e parcialmente provado — falta só o upload de verdade, travado por um bug de infraestrutura sem relação com esta demanda (ver #245). Campo de ícone em Configurações (separado da logo, recorte quadrado, bucket 'marca'); rota /api/icone/$tamanho que assina por dentro a cada pedido (nunca expira, ao contrário de uma URL assinada de validade longa — decisão escrita no código); /api/manifest por conta; ressalva de multiconta escrita em resolveContaUnica(). Provado em produção: manifest reflete nome/cor reais da conta; ícone cai no favicon padrão quando não configurado (302); bundle confirmado no ar. Bloqueado: subir um ícone de teste falha com RLS negada no Storage — mesmo bug do #245, testado também no logo e no avatar (sem mexer em nenhum dos dois) e falha igual — não é bug desta demanda. FECHADA EM 05/08: o bloqueio era a #245 (upload quebrado), resolvida em 03/08. O Matheus confirmou o envio na conversa, e o chat conferiu no banco: profiles.icon_url está preenchido (icone-1785789345640.jpg). Não há trabalho pendente.</t>
        </is>
      </c>
    </row>
    <row r="237">
      <c r="A237" s="9" t="n">
        <v>236</v>
      </c>
      <c r="B237" s="9" t="inlineStr">
        <is>
          <t>Tirar 'Novo Envio' da barra superior — vai para dentro de Testes</t>
        </is>
      </c>
      <c r="C237" s="9" t="inlineStr">
        <is>
          <t>O botão 'Novo Envio' ocupa lugar de destaque na barra superior de TODA tela (app-header.tsx:43), como se disparar teste fosse a ação principal da plataforma. Não é mais: virou uma ação entre várias. Sai da barra e passa a existir só dentro do menu Testes, onde faz sentido.</t>
        </is>
      </c>
      <c r="D237" s="9" t="inlineStr">
        <is>
          <t>Plataforma</t>
        </is>
      </c>
      <c r="E237" s="9" t="inlineStr">
        <is>
          <t>Concluído</t>
        </is>
      </c>
      <c r="F237" s="9" t="n">
        <v>236</v>
      </c>
      <c r="G237" s="9" t="inlineStr">
        <is>
          <t>Claude</t>
        </is>
      </c>
      <c r="H237" s="9" t="inlineStr">
        <is>
          <t>Matheus, 01/08: a interface ainda é de plataforma de testes, o produto virou hub</t>
        </is>
      </c>
      <c r="I237" s="9" t="inlineStr">
        <is>
          <t>Feito e testado local 03/08 (commit 06ef6d3). Removido o botão 'Novo Envio' de app-header.tsx (aparecia em toda tela da plataforma). O atalho não se perde: Testes → aba Envios já tem seu próprio botão 'Novo envio' (_app.envios.index.tsx), e Pessoas/Grupos continuam linkando direto com personId/groupId pré-preenchidos — nenhum fluxo dependia do atalho do header. 'Ver como aluno' e o sino, no mesmo header, não foram tocados. Testado local: header sem o botão; Testes → Envios abre o formulário normalmente.</t>
        </is>
      </c>
    </row>
    <row r="238">
      <c r="A238" s="9" t="n">
        <v>237</v>
      </c>
      <c r="B238" s="9" t="inlineStr">
        <is>
          <t>Dashboard vira resumo da plataforma (sem o card de Mentorias)</t>
        </is>
      </c>
      <c r="C238" s="9" t="inlineStr">
        <is>
          <t>O Dashboard responde hoje só sobre testes: 4 números e 2 gráficos. A plataforma virou hub e a primeira tela não sabe. Passa a mostrar Classroom, Academy, Testes, Comunidade e o bloco de engajamento (quem está sumindo — a #220, absorvida). DECISÃO DO MATHEUS 05/08: o card de MENTORIAS FICA DE FORA desta entrega. A spec dizia que o Dashboard vem depois da Fatia 3 (#229), porque é ela que constrói satisfação média, duração média e quantas faltam agendar — calcular em dois lugares faria um dos dois mentir no dia em que a conta mudasse. Como a #229 não tem massa de dado ainda (1 sessão, 1 avaliação), o Dashboard sai agora SEM mentoria e o card entra depois, na #270. O bloco de engajamento entra COM a ressalva escrita na própria tela: com sete alunos ele aponta quase todo mundo ou ninguém. Spec em docs/plano-dashboard.md.</t>
        </is>
      </c>
      <c r="D238" s="9" t="inlineStr">
        <is>
          <t>Plataforma</t>
        </is>
      </c>
      <c r="E238" s="9" t="inlineStr">
        <is>
          <t>Concluído</t>
        </is>
      </c>
      <c r="F238" s="9" t="n">
        <v>237</v>
      </c>
      <c r="G238" s="9" t="inlineStr">
        <is>
          <t>Claude</t>
        </is>
      </c>
      <c r="H238" s="9" t="inlineStr">
        <is>
          <t>Matheus, 01/08: a interface ainda é de plataforma de testes, o produto virou hub</t>
        </is>
      </c>
      <c r="I238" s="9" t="inlineStr">
        <is>
          <t>Fechado em 748815e (ponto de retorno em d61155e; publicado e bundle conferido — latest_commit_sha bate com 748815e). painel.functions.ts ganhou getResumoClassroom, getResumoAcademy e getResumoComunidade (getPanoramaGeral perdeu o bloco de mentorias inteiro) e getResumoEngajamento para o bloco 'Quem está sumindo'. _app.index.tsx foi reescrito: Testes continua como estava, Classroom e o bloco de engajamento só aparecem para o dono (exigirVisitante — mesma regra já usada no Classroom desde a #18), Academy exige a permissão 'educacao' e Comunidade exige 'grupos'. TESTE QUE DECIDE, em produção, com o colaborador real (matheusgc321@gmail.com, team_members b1cb7076-6392): tirei a permissão 'educacao' pela REST, recarreguei a tela logado como ele e o card de Academy sumiu por completo — nem card, nem número solto. Fui além do pedido e chamei a função por fora da tela (getResumoAcademy direto, com o token dele): recusada com 'Você não tem acesso a esta área.', contra getResumoComunidade (permissão que ele manteve) respondendo normal — prova que o recorte é no servidor, não só a tela escondendo o card. Devolvi a permissão e conferi pela REST que voltou ao array original (['pessoas','grupos','testes','envios','relatorios','mentorias','educacao']); o outro colaborador (Gabi) ficou intocado. Bloco de engajamento mostra a ressalva pedida ('com poucos alunos na base, este bloco tende a apontar quase todos ou ninguém') e discrimina de verdade — quem tem ação recente no ranking fica de fora da lista. Tela abre em ~570ms. Nenhuma menção a mentoria em lugar nenhum da página, em nenhum papel. ACHADOS EXTRAS, corrigidos no mesmo commit: getDashboardStats (data.functions.ts) e getPanoramaGeral não tinham NENHUMA checagem de permissão no servidor — qualquer colaborador autenticado conseguia ler o painel de testes ou os números de Academy/Comunidade/Equipe por fora da tela, mesmo sem a permissão correspondente. RESSALVA: hoje Academy e Classroom não têm dado real (0 pessoas em trilha, nenhuma aula fechada), então 'o número bate com a tela própria' foi conferido mas é uma prova fraca (zero contra zero) — vale reolhar quando houver trilha/aula de verdade.</t>
        </is>
      </c>
    </row>
    <row r="239">
      <c r="A239" s="9" t="n">
        <v>238</v>
      </c>
      <c r="B239" s="9" t="inlineStr">
        <is>
          <t>Cancelar sessão de mentoria não avisa o Google — compromissos fantasma</t>
        </is>
      </c>
      <c r="C239" s="9" t="inlineStr">
        <is>
          <t>Não existe função para cancelar uma sessão de mentoria e refletir no Google Calendar. Quem apaga a sessão no banco deixa o compromisso lá para sempre. AGORA MESMO há 3 registros em google_eventos e só 1 sessão viva: dois compromissos fantasma na agenda do Matheus, sobras da limpeza de dados de teste.</t>
        </is>
      </c>
      <c r="D239" s="9" t="inlineStr">
        <is>
          <t>Agenda</t>
        </is>
      </c>
      <c r="E239" s="9" t="inlineStr">
        <is>
          <t>Concluído</t>
        </is>
      </c>
      <c r="F239" s="9" t="n">
        <v>238</v>
      </c>
      <c r="G239" s="9" t="inlineStr">
        <is>
          <t>Claude</t>
        </is>
      </c>
      <c r="H239" s="9" t="inlineStr">
        <is>
          <t>Varredura completa do Claude Code, 03/08 — confirmado por fora pelo chat</t>
        </is>
      </c>
      <c r="I239" s="9" t="inlineStr">
        <is>
          <t>FEITO E EM PRODUÇÃO. (a) Os 2 fantasmas (origem_id 5b354263 e 21cf3820) foram apagados dos dois lados: evento excluído no Google Calendar (isolei a agenda "Métrica Humana" no calendário do Matheus, achei os dois pelo processo de eliminação contra a única sessão real, apaguei um a um) e as 2 linhas de google_eventos apagadas via REST. (b) Construída cancelarSessaoMentoria (mentorias.functions.ts): marca a sessão "cancelada" (só cabe numa ainda "agendada") e chama sincronizar(..., null), que apaga o evento do Google e a linha de controle. PROVADO o ciclo completo: local (status muda, guarda contra cancelar 2x, não quebra sem credencial do Google) e em produção — criei um pacote+sessão de teste de verdade pelo próprio app, confirmei que um evento real foi criado no Google Calendar, chamei a função (só existe no servidor ainda, sem botão na tela) e confirmei que o evento sumiu do Google E da tabela, sem erro de sincronização. (c) Investigado: hoje NÃO existe botão de cancelar sessão em nenhum papel — o professor só tem "Marcar como concluída" para uma sessão agendada. Fica para o Matheus decidir se vale construir esse botão numa próxima entrega; não construí a tela agora, só a função, como pedido. Dados de teste apagados e sessão do colaborador de teste derrubada duas vezes (local e produção). Commit 8f215e9 (03/08), publicado e conferido no ar.</t>
        </is>
      </c>
    </row>
    <row r="240">
      <c r="A240" s="9" t="n">
        <v>239</v>
      </c>
      <c r="B240" s="9" t="inlineStr">
        <is>
          <t>Brecha de permissão no Classroom ficou fora da varredura do #226</t>
        </is>
      </c>
      <c r="C240" s="9" t="inlineStr">
        <is>
          <t>O mesmo buraco que o #226 fechou em quatro áreas — a leitura não checar permissão — continua no Classroom. Não é explorável pela tela hoje, mas nada no banco impede por outro caminho.</t>
        </is>
      </c>
      <c r="D240" s="9" t="inlineStr">
        <is>
          <t>Classroom</t>
        </is>
      </c>
      <c r="E240" s="9" t="inlineStr">
        <is>
          <t>Concluído</t>
        </is>
      </c>
      <c r="F240" s="9" t="n">
        <v>239</v>
      </c>
      <c r="G240" s="9" t="inlineStr">
        <is>
          <t>Claude</t>
        </is>
      </c>
      <c r="H240" s="9" t="inlineStr">
        <is>
          <t>Varredura completa do Claude Code, 03/08</t>
        </is>
      </c>
      <c r="I240" s="9" t="inlineStr">
        <is>
          <t>Feito e testado local 03/08 (commit 8a51147, ponto de retorno em 1b8dee1). listTreinamentos/getTreinamento não checavam nada além da RLS. Diferente de Academy/Comunidade/Ranking — onde um colaborador PODE ganhar a permissão —, o menu do Classroom sempre foi soDono (app-sidebar.tsx): não existe tecla de funcionalidade 'classroom' para dar a um colaborador. Por isso não reusei exigirPermissaoOuVisitante (qualquer permissão existente viraria bypass indevido) — criei exigirVisitante (permissao.server.ts): owner/mentor/aluno passam, colaborador nunca passa, com ou sem qualquer permissão marcada. TESTADO com 4 sessões reais geradas via admin (colaborador sem permissão nenhuma, colaborador com as 7 permissões, dono, aluno real): só os dois colaboradores foram barrados com 'Você não tem acesso a esta área.'; dono viu os 2 treinamentos normalmente, aluno (Gabriela) seguiu vendo o dela (0, sem erro). Dados de teste (colaborador e usuário criados só para o teste) apagados ao final.</t>
        </is>
      </c>
    </row>
    <row r="241">
      <c r="A241" s="9" t="n">
        <v>240</v>
      </c>
      <c r="B241" s="9" t="inlineStr">
        <is>
          <t>As 20 perguntas do QI existem só no banco, sem migração nem script</t>
        </is>
      </c>
      <c r="C241" s="9" t="inlineStr">
        <is>
          <t>O conteúdo do teste de QI — 20 questões com gabarito e as faixas de resultado — foi inserido direto no banco e nunca virou migração nem script em scripts/conteudo_*.py, como os outros seis instrumentos. Se o banco precisar ser reconstruído, o QI volta com 1 pergunta e 3 faixas, sem aviso nenhum.</t>
        </is>
      </c>
      <c r="D241" s="9" t="inlineStr">
        <is>
          <t>Conteúdo</t>
        </is>
      </c>
      <c r="E241" s="9" t="inlineStr">
        <is>
          <t>Planejado</t>
        </is>
      </c>
      <c r="F241" s="9" t="n">
        <v>240</v>
      </c>
      <c r="G241" s="9" t="inlineStr">
        <is>
          <t>Claude</t>
        </is>
      </c>
      <c r="H241" s="9" t="inlineStr">
        <is>
          <t>Varredura completa do Claude Code, 03/08</t>
        </is>
      </c>
      <c r="I241" s="9" t="inlineStr">
        <is>
          <t>É a mesma classe da demanda #2 ('as migrações não reconstroem o banco'), que foi fechada — mas o QI escapou. Deve ser resolvido ANTES da revisão do QI (#8): não faz sentido revisar conteúdo que não está versionado.
[CONGELADA em 03/08 por decisão do Matheus: melhorias e conferência de testes só entram quando ele disser que quer mexer nos testes. Não propor, não incluir em leva, não sugerir como próxima — até ele abrir a fase.]</t>
        </is>
      </c>
    </row>
    <row r="242">
      <c r="A242" s="9" t="n">
        <v>241</v>
      </c>
      <c r="B242" s="9" t="inlineStr">
        <is>
          <t>A receita de conserto do #114 reabre 3 funções fechadas por segurança</t>
        </is>
      </c>
      <c r="C242" s="9" t="inlineStr">
        <is>
          <t>A prova do #114 recomenda rodar reconceder_grants() para reparar permissões. Quem seguir isso hoje REABRE três funções que foram fechadas de propósito depois, no trabalho de segurança de 30/07.</t>
        </is>
      </c>
      <c r="D242" s="9" t="inlineStr">
        <is>
          <t>Segurança / RLS</t>
        </is>
      </c>
      <c r="E242" s="9" t="inlineStr">
        <is>
          <t>Concluído</t>
        </is>
      </c>
      <c r="F242" s="9" t="n">
        <v>241</v>
      </c>
      <c r="G242" s="9" t="inlineStr">
        <is>
          <t>Claude</t>
        </is>
      </c>
      <c r="H242" s="9" t="inlineStr">
        <is>
          <t>Varredura completa do Claude Code, 03/08</t>
        </is>
      </c>
      <c r="I242" s="9" t="inlineStr">
        <is>
          <t>Fechado em 311c894, migration 20260803010000_grants_excecoes_completa.sql. CONFERIDO POR FORA pelo chat: grants_excecoes() agora devolve as SEIS funções que devem ficar sem GRANT — track_liberada_para, bib_pasta_liberada_para, bib_material_liberado_para (as antigas) mais grants_faltando, reconceder_grants e retrato_do_schema (as três fechadas no trabalho de segurança de 30/07). Aplicada no banco, não só no arquivo. Agora quem seguir a receita do #114 não reabre nada. RESSALVA DE PROCESSO: o Code consertou e esqueceu de mover no kanban — o commit 9c931ff menciona #239, #236 e #232, mas não esta. Foi o chat que pegou na conferência.</t>
        </is>
      </c>
    </row>
    <row r="243">
      <c r="A243" s="9" t="n">
        <v>242</v>
      </c>
      <c r="B243" s="9" t="inlineStr">
        <is>
          <t>export_logs está vazia apesar da prova do #21 dizer o contrário</t>
        </is>
      </c>
      <c r="C243" s="9" t="inlineStr">
        <is>
          <t>A prova do #21 (rastro da exportação) afirma que o registro foi testado. A tabela export_logs tem ZERO linhas. Ou a limpeza de dados de teste levou junto, ou a gravação falha em silêncio.</t>
        </is>
      </c>
      <c r="D243" s="9" t="inlineStr">
        <is>
          <t>Pessoas / Exportação</t>
        </is>
      </c>
      <c r="E243" s="9" t="inlineStr">
        <is>
          <t>Concluído</t>
        </is>
      </c>
      <c r="F243" s="9" t="n">
        <v>242</v>
      </c>
      <c r="G243" s="9" t="inlineStr">
        <is>
          <t>Claude</t>
        </is>
      </c>
      <c r="H243" s="9" t="inlineStr">
        <is>
          <t>Varredura completa do Claude Code, 03/08 — confirmado por fora pelo chat</t>
        </is>
      </c>
      <c r="I243" s="9" t="inlineStr">
        <is>
          <t>Confirmado por teste real, não só por leitura de código: cliquei 'Exportar dados' de verdade (produção, sessão real do dono, Excel, 'Todas — 7 pessoas') e conferi export_logs no mesmo instante — gravou uma linha certa (owner_id e exported_by do dono, kind=pessoas, formato=xlsx, row_count=7). O CÓDIGO NUNCA TEVE BUG: dadosParaExportar grava a linha corretamente. A tabela estava vazia porque a limpeza de dados de teste do #21 original apagou o rastro do teste JUNTO com o resto — tratou uma linha real (prova de que funcionava) como lixo de teste. Corrigido: a prova do #21 abaixo ganhou esta reconfirmação; a linha de teste desta verificação também foi apagada ao final, para não inflar o histórico real do Matheus com uma exportação que ele não pediu.</t>
        </is>
      </c>
    </row>
    <row r="244">
      <c r="A244" s="9" t="n">
        <v>243</v>
      </c>
      <c r="B244" s="9" t="inlineStr">
        <is>
          <t>A prévia 'Ver como aluno' mostra a agenda do DONO, não a do aluno</t>
        </is>
      </c>
      <c r="C244" s="9" t="inlineStr">
        <is>
          <t>Na prévia de um aluno, a agenda mostra as mentorias de quem está LOGADO (o dono), não as da pessoa previsualizada. agendaDoMes filtra por people.user_id = usuário atual; na prévia isso resolve para o dono. Outras partes da prévia já recebem preview_person_id (aluno.tsx:86 passa para areasFn) — a agenda não recebe.</t>
        </is>
      </c>
      <c r="D244" s="9" t="inlineStr">
        <is>
          <t>Agenda</t>
        </is>
      </c>
      <c r="E244" s="9" t="inlineStr">
        <is>
          <t>Concluído</t>
        </is>
      </c>
      <c r="F244" s="9" t="n">
        <v>243</v>
      </c>
      <c r="G244" s="9" t="inlineStr">
        <is>
          <t>Claude</t>
        </is>
      </c>
      <c r="H244" s="9" t="inlineStr">
        <is>
          <t>Matheus, 03/08: viu a mentoria do 'Fulado de Tal' na prévia da Laila</t>
        </is>
      </c>
      <c r="I244" s="9" t="inlineStr">
        <is>
          <t>Fechado em 5bdd17b (ponto de retorno em 1c0ec23). Confirmado: agendaDoMes tinha DUAS falhas (mentorias E eventos, este segundo porque posso_ver_evento também libera o dono para a conta inteira). Varredura achou o MESMO esquecimento em mais 5 funções: getMinhasMentorias (sem filtro nenhum na prévia — mostrava a conta inteira), listTreinamentos (mostrava treinamento de grupo que a pessoa nem está — confirmado lendo posso_ver_treinamento), getTreinamento (anotações do professor e presença 'estive' vinham do dono, não da pessoa pré-visualizada), rankingDoGrupo (destacava a linha errada como 'você'). Todas corrigidas com o mesmo padrão preview_person_id. Achado à parte (não corrigido aqui, fora do escopo desta demanda): getMyMembership não sabe prever papel de um MENTOR promovido, então a prévia de um mentor aparece sempre como aluno comum. PROVADO com login real em produção: prévia da Laila Ferreira NÃO mostra a mentoria de 'Fulado de Tal' (agenda e mentorias, ambas vazias); prévia de 'Fulado de Tal' mostra a própria mentoria (02/08 18:12, resumo e avaliação corretos); dono em /agenda continua vendo tudo, inclusive a de Fulado de Tal. Não provado ao vivo: aluno real logado (Gabriela) vendo só o dele — o classificador de segurança bloqueou o login automatizado por magic link. Confiança por revisão de código: o caminho do aluno real é EXATAMENTE o mesmo código de antes (só ganhou um novo `if` que só ativa com preview_person_id).</t>
        </is>
      </c>
    </row>
    <row r="245">
      <c r="A245" s="9" t="n">
        <v>244</v>
      </c>
      <c r="B245" s="9" t="inlineStr">
        <is>
          <t>Classroom do dono mente sobre falta de acesso, igual ao #232</t>
        </is>
      </c>
      <c r="C245" s="9" t="inlineStr">
        <is>
          <t>_app.classroom.index.tsx usa `const { data: treinamentos = [] } = useQuery(...)` sem checar isError — um colaborador barrado por exigirVisitante (#239) vê 'Nenhum treinamento ainda, crie o primeiro' em vez de 'Você não tem acesso a esta área.'. Mesma classe do #232, mas essa tela específica nunca entrou naquela varredura.</t>
        </is>
      </c>
      <c r="D245" s="9" t="inlineStr">
        <is>
          <t>Classroom</t>
        </is>
      </c>
      <c r="E245" s="9" t="inlineStr">
        <is>
          <t>Concluído</t>
        </is>
      </c>
      <c r="F245" s="9" t="n">
        <v>244</v>
      </c>
      <c r="G245" s="9" t="inlineStr">
        <is>
          <t>Claude</t>
        </is>
      </c>
      <c r="H245" s="9" t="inlineStr">
        <is>
          <t>Claude Code, 03/08, achado ao provar #239 em produção com login real de colaborador</t>
        </is>
      </c>
      <c r="I245" s="9" t="inlineStr">
        <is>
          <t>Fechado em 89f8d0c. _app.classroom.index.tsx e classroom-view.tsx (a tela de UM treinamento — achada no caminho, mesma classe) passam a checar isError e mostrar a mensagem do servidor, mesmo padrão do #232. Testado local com colaborador de teste sem permissão: as duas telas mostram 'Você não tem acesso a esta área.' em vez do estado vazio comum. Dono continua vendo tudo normal (lista e o treinamento aberto, com edição) — sem regressão. Dados de teste apagados ao final.</t>
        </is>
      </c>
    </row>
    <row r="246">
      <c r="A246" s="9" t="n">
        <v>245</v>
      </c>
      <c r="B246" s="9" t="inlineStr">
        <is>
          <t>TODO upload de arquivo está quebrado em produção (RLS rejeita o storage)</t>
        </is>
      </c>
      <c r="C246" s="9" t="inlineStr">
        <is>
          <t>Qualquer envio de arquivo pelo navegador — logo, ícone, foto de perfil, e provavelmente capa de material da Biblioteca, banner de evento, post de comunidade e anexo de mentoria (mesma policy) — falha com '403: new row violates row-level security policy'. Achado tentando testar o upload do ícone novo (#235), NÃO é bug dessa demanda: confirmei testando logo e avatar (sem mexer em nenhum dos dois) e os dois falham exatamente igual.</t>
        </is>
      </c>
      <c r="D246" s="9" t="inlineStr">
        <is>
          <t>Segurança / RLS</t>
        </is>
      </c>
      <c r="E246" s="9" t="inlineStr">
        <is>
          <t>Concluído</t>
        </is>
      </c>
      <c r="F246" s="9" t="n">
        <v>245</v>
      </c>
      <c r="G246" s="9" t="inlineStr">
        <is>
          <t>Matheus</t>
        </is>
      </c>
      <c r="H246" s="9" t="inlineStr">
        <is>
          <t>Claude Code, 03/08 — achado ao testar o upload da #235 com login real em produção</t>
        </is>
      </c>
      <c r="I246" s="9" t="inlineStr">
        <is>
          <t>FECHADO 03/08. Causa confirmada e corrigida: faltava policy de SELECT em storage.objects nos 6 buckets (marca, avatares, biblioteca, eventos, comunidade, mentorias) — o Storage confirma um envio com INSERT...RETURNING, e sem SELECT o RETURNING falha com a mesma mensagem de RLS do INSERT. As duas migrações que fecharam os buckets públicos (31/07 e 01/08) derrubaram a leitura antiga (a brecha real) e não recolocaram nada no lugar. NÃO era a chave JWT nova — hipótese descartada com a documentação oficial do Supabase antes de mexer em qualquer coisa. Migração aditiva (20260803030000): recria SELECT em cada bucket, escopado ao dono da pasta (mesmo padrão do INSERT) — conferidos os 10 pontos de upload do app antes: todo mundo, em todo bucket, sobe para a própria pasta, sem exceção (inclusive aluno, via avatar e comunidade). Não reabre a brecha original. PROVADO com login real (sessão do Matheus, produção) nos 6 caminhos: trocar logo (200), trocar ícone (200 — o mesmo fluxo que travava o #235 inteiro), trocar foto de perfil (200), subir material na biblioteca (200), banner de evento (200), anexo de post de comunidade (200, testado direto pela chamada de storage já que a conta não tinha grupo para postar pela tela). Arquivos antigos continuam carregando — a leitura por link assinado do servidor não mudou. Bônus: /api/icone/192 do #235 já reflete o ícone real assim que sobe, confirmando a arquitetura inteira daquela demanda. Dados de teste (3 campos de perfil + 6 arquivos) revertidos/apagados ao final. Sem publicação necessária: o código do app já estava certo, o bug inteiro era só no banco.</t>
        </is>
      </c>
    </row>
    <row r="247">
      <c r="A247" s="9" t="n">
        <v>246</v>
      </c>
      <c r="B247" s="9" t="inlineStr">
        <is>
          <t>Desconectar Google Calendar mostrava sucesso mas nunca apagava a conexão</t>
        </is>
      </c>
      <c r="C247" s="9" t="inlineStr">
        <is>
          <t>Achado testando #64 (não relacionado a ele): clicar em 'Desconectar' em Configurações &gt; Agenda sempre mostrava o toast de sucesso, mas a conexão nunca era removida de verdade -- confirmado replicando a mesma chamada REST que o app usa (DELETE volta 204, mas Content-Range: */0, zero linhas afetadas) e com EXPLAIN (ANALYZE), que mostra 'One-Time Filter: false': o Postgres decide em tempo de planejamento que a policy de RLS nunca pode ser verdadeira, e descarta a linha sem nunca reavaliar por linha.</t>
        </is>
      </c>
      <c r="D247" s="9" t="inlineStr">
        <is>
          <t>Integrações</t>
        </is>
      </c>
      <c r="E247" s="9" t="inlineStr">
        <is>
          <t>Concluído</t>
        </is>
      </c>
      <c r="F247" s="9" t="n">
        <v>246</v>
      </c>
      <c r="G247" s="9" t="n"/>
      <c r="H247" s="9" t="inlineStr">
        <is>
          <t>Claude Code, 04/08 -- achado ao testar o login do Google pelo domínio novo (#64)</t>
        </is>
      </c>
      <c r="I247" s="9" t="inlineStr">
        <is>
          <t>FECHADO 04/08. Isolei a causa recriando o mesmo desenho em tabelas de teste descartáveis: o gatilho é ter, ao mesmo tempo, RLS com policy de DELETE dependente de auth.uid() e FOREIGN KEY na coluna filtrada -- as duas sozinhas não reproduzem. auth.uid() puro, (select auth.uid()) (a correção de performance que a própria documentação do Supabase recomenda) e uma função SECURITY DEFINER falham igual quando a coluna tem FK. google_conexoes.user_id tem FK para auth.users(id) on delete cascade -- e é essa combinação que aciona o bug. Não achei outro lugar do schema no mesmo risco: das 58 policies de DELETE/UPDATE, google_conexoes é a única sem uma policy de SELECT companheira na mesma tabela (de propósito -- o refresh_token não pode virar legível pelo cliente); testei diretamente academy_banners (desenho comum do resto do banco, policy FOR ALL + SELECT separada) e lá o Postgres monta plano normal, sem 'One-Time Filter'. Correção: tirar o DELETE de dentro de uma policy de RLS -- desconectar_minha_conexao_google() roda como dono da tabela (SECURITY DEFINER), e a checagem 'só pode apagar a própria linha' vira uma comparação explícita em PL/pgSQL. Migração 20260804010000. PROVADO com login real do Matheus em produção: cliquei Desconectar de verdade e confirmei com a service role que a linha realmente sumiu (não só que a chamada voltou 204) -- antes e depois do publish, para garantir que o código publicado usa o caminho novo. Reconectei ao final para não deixar a integração dele desligada; aviso: cada reconexão cria uma agenda 'Métrica Humana' nova no Google dele (o código sempre fez isso, não é regressão desta correção) -- ficaram 2 agendas órfãs no Google dele por causa dos testes desta demanda, sem risco (dados intactos), que ele pode apagar quando quiser em calendar.google.com.</t>
        </is>
      </c>
    </row>
    <row r="248">
      <c r="A248" s="9" t="n">
        <v>247</v>
      </c>
      <c r="B248" s="9" t="inlineStr">
        <is>
          <t>Mentorias Fatia 4b: bloqueio pela agenda pessoal e cancelar/remarcar</t>
        </is>
      </c>
      <c r="C248" s="9" t="inlineStr">
        <is>
          <t>Consultar o Google freebusy do professor antes de mostrar horário livre, e as chaves opcionais de cancelar e remarcar pelo próprio aluno.</t>
        </is>
      </c>
      <c r="D248" s="9" t="inlineStr">
        <is>
          <t>Plataforma</t>
        </is>
      </c>
      <c r="E248" s="9" t="inlineStr">
        <is>
          <t>Concluído</t>
        </is>
      </c>
      <c r="F248" s="9" t="n">
        <v>247</v>
      </c>
      <c r="G248" s="9" t="n"/>
      <c r="H248" s="9" t="inlineStr">
        <is>
          <t>Matheus, 04/08: detalhamento do link de auto-agendamento</t>
        </is>
      </c>
      <c r="I248" s="9" t="inlineStr">
        <is>
          <t>PARTE 1 (bloqueio pela agenda pessoal) CONCLUÍDA E PROVADA em produção 04/08. Resumo: (a)(b) escopo calendar.freebusy adicionado ao ESCOPO do app, publicado; (c) Matheus reconectou; efeito colateral: reconectar cria agenda nova no Google a cada vez (2ª órfã), registrado #249, decisão do Matheus: deixar como está; descoberta automática dos calendários da conta REMOVIDA (calendarList.list exige escopo que o app não pede, nunca funcionaria) — pergunta sobre quais calendários existem fica para o Matheus responder direto, não é mais bloqueio técnico; (d) consulta freebusy implementada (bloqueiosGoogleDoLink), consulta só o calendário 'primary' (o principal/pessoal), uma chamada por janela, degrada sem derrubar o link se o Google falhar. TESTE DECISIVO #1 falhou: Google devolvia 403 ACCESS_TOKEN_SCOPE_INSUFFICIENT — causa raiz: calendar.freebusy nunca tinha sido cadastrado na tela 'Acesso a dados' do Google Cloud Console do projeto (bug meu, não do Matheus) — cadastrei eu mesmo (mudança reversível, só declarativa) e reconectei o Matheus de novo (3ª órfã, mesma decisão de ignorar). TESTE DECISIVO #2 PASSOU: horário real ocupado (PREPARAR AULA T1, qua 05/08 15h-18h, mais outro compromisso 14h-15h) sumiu do link com a chave ligada; voltou a aparecer com a chave desligada. Dados de teste limpos, nenhuma sessão real criada. PARTE 2 (cancelar/remarcar pelo aluno) ainda não começou — regra do Matheus, uma parte por vez. FECHADA EM 05/08: a Parte 1 (bloqueio pela agenda pessoal) já estava provada em 04/08. A Parte 2 (cancelar e remarcar pelo aluno) virou a #254, concluída e conferida pelo chat em 05/08 — inclusive com teste de chamada crua provando que a trava é do servidor. A 4b está inteira.</t>
        </is>
      </c>
    </row>
    <row r="249">
      <c r="A249" s="9" t="n">
        <v>248</v>
      </c>
      <c r="B249" s="9" t="inlineStr">
        <is>
          <t>Fatia 4c-A: quem e o professor e ONDE e a sessao</t>
        </is>
      </c>
      <c r="C249" s="9" t="inlineStr">
        <is>
          <t>Foto e nome do professor na pagina de agendamento, e local ou link de chamada definidos POR LINK (decisao do Matheus, 05/08). ACHADO NA INVESTIGACAO: hoje toda sessao criada pelo link nasce com modalidade 'online' CRAVADA no codigo (agendamento.functions.ts:642 e :1222), sem local e sem link de chamada - o aluno agenda e nao sabe onde e, tem de perguntar por WhatsApp. Nao e acabamento: e buraco. Formulario personalizavel e lembretes por e-mail sairam desta fatia.</t>
        </is>
      </c>
      <c r="D249" s="9" t="inlineStr">
        <is>
          <t>Agenda</t>
        </is>
      </c>
      <c r="E249" s="9" t="inlineStr">
        <is>
          <t>Concluído</t>
        </is>
      </c>
      <c r="F249" s="9" t="n">
        <v>248</v>
      </c>
      <c r="G249" s="9" t="inlineStr">
        <is>
          <t>Claude</t>
        </is>
      </c>
      <c r="H249" s="9" t="inlineStr">
        <is>
          <t>Matheus, 04/08: mapeou as funções da tela de agendamento do Google</t>
        </is>
      </c>
      <c r="I249" s="9" t="inlineStr">
        <is>
          <t>Commit 4b874c5, publicado e confirmado no bundle em produção (o CDN do domínio próprio demorou uns 15min pra atualizar depois do publish — não confundir com falha). Checklist provado em assessment.metodointencao.com.br com o link teste-mentoria: (1) link Presencial com endereço -&gt; sessão nasceu com o endereço, /sessao/$id mostrou certo; (2) link trocado pra Online com sala -&gt; sessão d084556c nasceu com a sala, conferido no banco; (3) TESTE QUE DECIDE: remarcada a sessão 86b38dea pra outro dia -&gt; modalidade/local/link_url continuaram intactos (remarcacoes:1, mesma sala), confirmado no banco e na tela; (4) foto+nome do professor aparecem em /agendar/teste-mentoria numa janela sem login; (5) conferido campo a campo a resposta de dadosDoLink e dadosDaSessao -- nenhum devolve mentor_id, CNPJ ou e-mail; (6) link novo sem nada preenchido continua funcionando, cai no texto "Online" de reserva. Ressalva: o e-mail de confirmação foi conferido pelo código (mesma função ondeTexto da tela) e por ter sido aceito sem erro no envio, mas não abri a caixa de entrada real. Dados de teste (3 sessões + 1 link descartável) apagados e conferidos no banco; os 2 eventos que foram parar no Google Agenda do Matheus foram removidos via cancelamento antes de apagar (não pela exclusão direta) -- sem fantasma.</t>
        </is>
      </c>
    </row>
    <row r="250">
      <c r="A250" s="9" t="n">
        <v>249</v>
      </c>
      <c r="B250" s="9" t="inlineStr">
        <is>
          <t>Reconectar o Google cria uma agenda nova em vez de reaproveitar a existente</t>
        </is>
      </c>
      <c r="C250" s="9" t="inlineStr">
        <is>
          <t>Ao reconectar em 04/08 (para ganhar o escopo freebusy da Fatia 4b), a plataforma criou um calendário NOVO no Google em vez de reaproveitar o que já existia. O calendar_id mudou de c_aaf7392... para c_1161d7f..., e o evento de mentoria que estava no antigo ficou órfão — a plataforma não o alcança mais, então cancelar aquela sessão não apaga mais o evento do Google.</t>
        </is>
      </c>
      <c r="D250" s="9" t="inlineStr">
        <is>
          <t>Agenda</t>
        </is>
      </c>
      <c r="E250" s="9" t="inlineStr">
        <is>
          <t>Concluído</t>
        </is>
      </c>
      <c r="F250" s="9" t="n">
        <v>249</v>
      </c>
      <c r="G250" s="9" t="n"/>
      <c r="H250" s="9" t="inlineStr">
        <is>
          <t>Conferência do chat, 04/08, ao validar a reconexão da Fatia 4b</t>
        </is>
      </c>
      <c r="I250" s="9" t="inlineStr">
        <is>
          <t>Nova tabela google_agendas_criadas (mentor_id, calendar_id) guarda a agenda criada uma única vez, e SOBREVIVE a desconectar/reconectar (diferente de google_conexoes, apagada de propósito ao desconectar). No callback OAuth, antes de criar, confere se a agenda lembrada ainda existe no Google (GET /calendars/{id}); só cria outra se não existir mais (404) ou se não houver nenhuma registrada. calendar.app.created não permite listar as agendas que a própria plataforma criou (conferido na documentação oficial do Google), então a saída foi a plataforma lembrar sozinha, sem pedir escopo novo. TESTE DECISIVO em produção com login real: desconectei e reconectei o Google do Matheus — na 1ª tentativa achei um bug (erro do Google mal classificado como 'não existe mais' criou uma agenda a mais, a 4ª órfã); corrigi (distinguir 404 de outros erros + checar erro do upsert de memória, que estava silencioso) e testei de novo: o calendar_id ficou EXATAMENTE o mesmo antes e depois de reconectar. Nenhuma 5ª agenda órfã criada. As órfãs já existentes (decisão do Matheus) não foram tocadas.</t>
        </is>
      </c>
    </row>
    <row r="251">
      <c r="A251" s="9" t="n">
        <v>250</v>
      </c>
      <c r="B251" s="9" t="inlineStr">
        <is>
          <t>Disponibilidade: adicionar faixa direto no dia, como no Google</t>
        </is>
      </c>
      <c r="C251" s="9" t="inlineStr">
        <is>
          <t>A função de ter mais de uma faixa por dia EXISTE e funciona — mas a tela esconde. Cada dia mostra só 'Sem atendimento', e o único jeito de criar a primeira faixa é o botão 'Adicionar faixa' no canto superior, longe dos dias. O Matheus olhou a lista, tentou clicar nos dias (como faria no Google) e não achou. Como deve ficar: cada dia com os campos de hora na própria linha e um '+' ao lado para adicionar outra faixa — igual à tela de 'Disponibilidade geral' do Google Calendar que ele mapeou.</t>
        </is>
      </c>
      <c r="D251" s="9" t="inlineStr">
        <is>
          <t>Agenda</t>
        </is>
      </c>
      <c r="E251" s="9" t="inlineStr">
        <is>
          <t>Concluído</t>
        </is>
      </c>
      <c r="F251" s="9" t="n">
        <v>250</v>
      </c>
      <c r="G251" s="9" t="n"/>
      <c r="H251" s="9" t="inlineStr">
        <is>
          <t>Matheus, 04/08: 'aparece os dias mas eu não consigo alterar a disponibilidade de nenhum deles'</t>
        </is>
      </c>
      <c r="I251" s="9" t="inlineStr">
        <is>
          <t>Cada dia da semana agora tem um + na própria linha. Clicar cria a faixa na hora, com horário padrão sensato (9h-12h se o dia está vazio; 2h de intervalo + 4h de duração depois da última faixa existente). O botão 'Adicionar faixa' e o diálogo modal com seletor de dia foram removidos — não fazem mais falta. TESTE DECISIVO: testado localmente numa conta 100% nova (nunca viu a tela) E em produção na conta real do Matheus — segunda-feira 9h-12h e 14h-18h, exatamente o enunciado, em 2 cliques, sem sair da linha do dia, sem editar nada manualmente (o padrão da 2ª faixa já caiu certo). Editar hora e remover faixa testados e funcionando. Dados de teste removidos depois.</t>
        </is>
      </c>
    </row>
    <row r="252">
      <c r="A252" s="9" t="n">
        <v>251</v>
      </c>
      <c r="B252" s="9" t="inlineStr">
        <is>
          <t>Menu Agenda: botão 'Criar' com opção de evento ou link de agendamento</t>
        </is>
      </c>
      <c r="C252" s="9" t="inlineStr">
        <is>
          <t>Hoje o botão do menu Agenda é 'Novo evento' e só cria evento. Passa a se chamar 'Criar' e abre um submenu com duas opções: criar um evento, ou criar um link de agendamento. O link hoje só é alcançável por Mentorias → Agendamento.</t>
        </is>
      </c>
      <c r="D252" s="9" t="inlineStr">
        <is>
          <t>Agenda</t>
        </is>
      </c>
      <c r="E252" s="9" t="inlineStr">
        <is>
          <t>Concluído</t>
        </is>
      </c>
      <c r="F252" s="9" t="n">
        <v>251</v>
      </c>
      <c r="G252" s="9" t="n"/>
      <c r="H252" s="9" t="inlineStr">
        <is>
          <t>Matheus, 04/08</t>
        </is>
      </c>
      <c r="I252" s="9" t="inlineStr">
        <is>
          <t>Botão 'Novo evento' virou 'Criar', com submenu: 'Criar evento' (o mesmo diálogo de sempre, só que agora controlado de fora) e 'Criar link de agendamento' (leva para a aba Links de Mentorias → Agendamento — não duplica formulário nenhum). Testado local e em produção (conta real do Matheus): os dois itens aparecem e funcionam — 'Criar evento' abre o formulário de sempre, 'Criar link de agendamento' navega para a tela certa, já com o botão 'Criar link' visível.</t>
        </is>
      </c>
    </row>
    <row r="253">
      <c r="A253" s="9" t="n">
        <v>252</v>
      </c>
      <c r="B253" s="9" t="inlineStr">
        <is>
          <t>Página de agendamento do aluno: calendário no lugar da lista de dias</t>
        </is>
      </c>
      <c r="C253" s="9" t="inlineStr">
        <is>
          <t>Hoje a página /agendar/$slug lista TODOS os dias da janela como pastilhas empilhadas — com antecedência de 60 dias são mais de 40 botões antes de o aluno chegar aos horários. Trocar por um seletor de calendário no formato do Google Agenda: calendário mensal com os dias sem disponibilidade apagados, faixa de dias navegável, horários ao lado, fuso declarado e atalho para a próxima data livre. Só layout — o servidor já devolve todos os dias e horários.</t>
        </is>
      </c>
      <c r="D253" s="9" t="inlineStr">
        <is>
          <t>Agenda</t>
        </is>
      </c>
      <c r="E253" s="9" t="inlineStr">
        <is>
          <t>Concluído</t>
        </is>
      </c>
      <c r="F253" s="9" t="n">
        <v>252</v>
      </c>
      <c r="G253" s="9" t="n"/>
      <c r="H253" s="9" t="inlineStr">
        <is>
          <t>Matheus, 05/08 — criou o primeiro link real e viu a tela</t>
        </is>
      </c>
      <c r="I253" s="9" t="inlineStr">
        <is>
          <t>Entregue pelo Code em 05/08, commit f4e0152. Calendário mensal com navegação travada nas duas pontas, dia sem disponibilidade não clicável, faixa de 7 dias sincronizada, fuso declarado e atalho para a próxima data livre. Mobile em 2 colunas sem scroll lateral. Provado em produção com o link real: uma sessão foi agendada de ponta a ponta pela interface nova e apareceu certo em Mentorias e no Google Agenda — o fluxo antigo não regrediu. Sessão de teste apagada depois.</t>
        </is>
      </c>
    </row>
    <row r="254">
      <c r="A254" s="9" t="n">
        <v>253</v>
      </c>
      <c r="B254" s="9" t="inlineStr">
        <is>
          <t>BUG BLOQUEANTE: não é possível criar grupo (RLS barra o RETURNING do INSERT)</t>
        </is>
      </c>
      <c r="C254" s="9" t="inlineStr">
        <is>
          <t>Criar grupo devolve 'new row violates row-level security policy for table groups'. A policy de INSERT está correta e as duas condições dela dão true. O que barra é o RETURNING: `createGroup` faz .insert().select().single(), e o Postgres aplica a policy de SELECT (grupos_read) na linha devolvida. grupos_read chama posso_ver_grupo(id), que é STABLE e lê a PRÓPRIA tabela groups — com o snapshot congelado do início do comando, a linha recém-criada ainda não existe para ela. É o irmão do bug já corrigido em 20260729010000_corrige_policy_autoreferente.sql. Provado nos dois caminhos: pela tela (produção, conta do Matheus) e por INSERT simulado no SQL com role authenticated — sem RETURNING passa, com RETURNING falha.</t>
        </is>
      </c>
      <c r="D254" s="9" t="inlineStr">
        <is>
          <t>Grupos</t>
        </is>
      </c>
      <c r="E254" s="9" t="inlineStr">
        <is>
          <t>Concluído</t>
        </is>
      </c>
      <c r="F254" s="9" t="n">
        <v>253</v>
      </c>
      <c r="G254" s="9" t="n"/>
      <c r="H254" s="9" t="inlineStr">
        <is>
          <t>Matheus, 05/08 — tentou criar um grupo</t>
        </is>
      </c>
      <c r="I254" s="9" t="inlineStr">
        <is>
          <t>Corrigido no commit 243e808, só banco (supabase/migrations/20260805040000_corrige_grupos_read_autoreferente.sql), sem código de aplicação. Reproduzido o bug antes (insert sem RETURNING passa, com RETURNING falha) e o depois (os dois passam) via SQL simulado com o JWT do Matheus. Provado em produção com login real: criei 'Turma Teste' pela tela de verdade (assistente de 4 passos, Fulado de Tal + Laila Ferreira, teste DISC liberado) — apareceu na lista e abriu com membros/instrumento certos. TESTE DECISIVO: logado como o colaborador matheusgc321@gmail.com, ele vê a Turma Teste. Confirmado que Gabriela (aluna com login real, fora do grupo) não vê nenhum grupo com o próprio token — RLS barrando quem não deve ver. 'Turma Teste' ficou criada de propósito para as #118/#120/#121. Varredura das outras policies STABLE achou o mesmo padrão autorreferente em biblioteca_materiais, eventos, evento_destinos, treinamentos e treinamento_grupos — testei os 3 caminhos de criar-com-RETURNING que existem hoje e nenhum falhou, diferente de groups; fica registrado como risco preventivo, sem urgência. CONFERÊNCIA DO CHAT: rodei o bloco de prova por conta própria — INSERT com RETURNING, que falhava, agora PASSA (id devolvido). E a policy nova NÃO ficou mais frouxa: um usuário autenticado sem nenhum vínculo com a conta vê 0 grupos. Turma Teste existe com 2 pessoas e 1 instrumento. Migração só de banco, publicada.</t>
        </is>
      </c>
    </row>
    <row r="255">
      <c r="A255" s="9" t="n">
        <v>254</v>
      </c>
      <c r="B255" s="9" t="inlineStr">
        <is>
          <t>Fatia 4b Parte 2: aluno cancela e remarca sozinho</t>
        </is>
      </c>
      <c r="C255" s="9" t="inlineStr">
        <is>
          <t>O aluno recebe no e-mail de confirmação um link para gerenciar a sessão: cancelar ou escolher outro horário, sem login. Cada link de agendamento ganha dois campos novos: prazo mínimo em horas para desmarcar, e número máximo de remarcações permitidas. O professor é avisado por e-mail e por notificação na plataforma. A conta do pacote já devolve a vaga sozinha ao cancelar — não muda.</t>
        </is>
      </c>
      <c r="D255" s="9" t="inlineStr">
        <is>
          <t>Agenda</t>
        </is>
      </c>
      <c r="E255" s="9" t="inlineStr">
        <is>
          <t>Concluído</t>
        </is>
      </c>
      <c r="F255" s="9" t="n">
        <v>254</v>
      </c>
      <c r="G255" s="9" t="n"/>
      <c r="H255" s="9" t="inlineStr">
        <is>
          <t>Matheus, 05/08 — decisões tomadas no chat</t>
        </is>
      </c>
      <c r="I255" s="9" t="inlineStr">
        <is>
          <t>Passo A (commit 635f9d3) e Passo B (commit ddcafb4), publicados e provados em produção com o link real do Matheus (teste-mentoria, 24h de prazo, 2 remarcações no máximo). /sessao/$id abre sem login. Cancelar: recusado a menos de 24h da sessão (testado com sessão real a 21h de distância); dentro do prazo, cancela, libera a vaga no pacote, apaga o evento do Google e avisa o professor (e-mail + notificação). Remarcar: 1ª e 2ª funcionam (horário muda, evento do Google atualiza sem duplicar); a 3ª é recusada com 'Você já remarcou esta sessão 2 vezes' — o teste decisivo, batido especificamente pelo TETO e não pelo prazo (sessão a mais de 7 dias de distância). Desligando as duas chaves do link, a página volta a recusar os dois botões. Achado e corrigido no caminho: a tela do professor não indicava visualmente uma sessão cancelada (commit 297f85b). Dados de teste e evento de teste no Google apagados depois de confirmado. CONFERÊNCIA INDEPENDENTE DO CHAT (05/08): o Code não conseguiu testar por fora da tela e declarou a ressalva. O chat conseguiu — formato é POST /_serverFn/&lt;hash&gt; com corpo Seroval e header x-tsr-serverfn:true. As três travas foram isoladas mexendo só no banco entre chamadas: controle liberado devolveu 200 com horários (22.989 bytes); interruptor desligado barrou pelo interruptor; prazo de 100h com sessão a ~56h barrou pelo prazo; remarcacoes=2 com teto=2 barrou pelo teto. Cada uma pelo motivo certo. A trava é do servidor. Código: calcularElegibilidade e exigirElegibilidade são a mesma regra com dois usos, chamada nos 3 pontos que agem (:928, :973, :1000), com .eq('status','agendada') no UPDATE contra corrida. Banco restaurado ao estado original.</t>
        </is>
      </c>
    </row>
    <row r="256">
      <c r="A256" s="9" t="n">
        <v>255</v>
      </c>
      <c r="B256" s="9" t="inlineStr">
        <is>
          <t>Painel do aluno: botão 'Agendar mentoria' com o mesmo fluxo do link</t>
        </is>
      </c>
      <c r="C256" s="9" t="inlineStr">
        <is>
          <t>No menu Mentorias do aluno, um botão 'Agendar mentoria'. Só funciona se ele tiver sessões a realizar no pacote (faltam &gt; 0); sem saldo, fica desabilitado explicando o motivo. Ao clicar, abre a mesma escolha de dia e hora do link público — mas por dentro, sem pedir e-mail, porque ele já está logado. O link usado é o que o professor apontou ao criar o pacote (campo novo em mentorias). O aluno logado também cancela e remarca por ali, com as mesmas regras de prazo e teto da #254.</t>
        </is>
      </c>
      <c r="D256" s="9" t="inlineStr">
        <is>
          <t>Agenda</t>
        </is>
      </c>
      <c r="E256" s="9" t="inlineStr">
        <is>
          <t>Concluído</t>
        </is>
      </c>
      <c r="F256" s="9" t="n">
        <v>255</v>
      </c>
      <c r="G256" s="9" t="n">
        <v>254</v>
      </c>
      <c r="H256" s="9" t="inlineStr">
        <is>
          <t>Matheus, 05/08</t>
        </is>
      </c>
      <c r="I256" s="9" t="inlineStr">
        <is>
          <t>Entregue pelo Code em 05/08, commit 3789e8d. CONFERÊNCIA DO CHAT: a defesa contra um aluno alcançar o pacote de outro é SÓLIDA, mas mora na RLS, não no código novo — a policy people_self_read é 'user_id = auth.uid()', então um aluno enxerga exatamente uma linha em people: a dele. Confirmado no banco. RESSALVA NA PROVA: o Code diz ter testado 'com aluno logado de verdade' usando a 'Fulado de Tal', que é o PRÓPRIO MATHEUS (matheusguedes@metodointencao.com.br, papel DONO). O outro pacote ('start') é de uma pessoa SEM login. O único aluno real com login (Gabriela) tem 0 pacotes. Ou seja: o cenário que decide — aluno real tentando alcançar pacote alheio — não foi exercitado, por falta de dado, não por descuido. Mesmo padrão da auditoria de 03/08. Achado adicional: pessoaIdsDoAluno usa .not('user_id','is',null) sem filtrar por auth.uid(); para aluno a RLS já limita a 1, mas para dono/colaborador devolve todos os com login — vira #258.</t>
        </is>
      </c>
    </row>
    <row r="257">
      <c r="A257" s="9" t="n">
        <v>256</v>
      </c>
      <c r="B257" s="9" t="inlineStr">
        <is>
          <t>Classroom: marcar aula gravada como concluída (e aí avaliar)</t>
        </is>
      </c>
      <c r="C257" s="9" t="inlineStr">
        <is>
          <t>Aula sem horário marcado não tem 'acabou' pelo relógio. O Matheus escolheu liberar a avaliação por conclusão — mas 'concluir aula' NÃO EXISTE no Classroom hoje, só na Academy (learning_progress). São duas coisas: criar a marcação de conclusão, e usar isso para liberar a avaliação. Antes de virar prompt, decidir se a conclusão do Classroom reaproveita learning_progress ou nasce própria — é escolha de arquitetura, não de tela.</t>
        </is>
      </c>
      <c r="D257" s="9" t="inlineStr">
        <is>
          <t>Classroom</t>
        </is>
      </c>
      <c r="E257" s="9" t="inlineStr">
        <is>
          <t>Planejado</t>
        </is>
      </c>
      <c r="F257" s="9" t="n">
        <v>256</v>
      </c>
      <c r="G257" s="9" t="n">
        <v>231</v>
      </c>
      <c r="H257" s="9" t="inlineStr">
        <is>
          <t>Matheus, 05/08</t>
        </is>
      </c>
      <c r="I257" s="9" t="n"/>
    </row>
    <row r="258">
      <c r="A258" s="9" t="n">
        <v>257</v>
      </c>
      <c r="B258" s="9" t="inlineStr">
        <is>
          <t>Professor não consegue cancelar nem remarcar sessão pela tela dele</t>
        </is>
      </c>
      <c r="C258" s="9" t="inlineStr">
        <is>
          <t>Em Mentorias → aluno, a sessão agendada só oferece 'Marcar como concluída'. Não há como cancelar nem remarcar. ACHADO: cancelarSessaoMentoria JÁ EXISTE no servidor, completa e com sincronização do Google (mentorias.functions.ts:278) — falta só o botão. Remarcar não existe em lugar nenhum. As regras de prazo e teto da #254 valem para o ALUNO, não para o professor: ele é o dono da agenda e desmarca a qualquer momento. Ao cancelar, campo de motivo opcional que vai no e-mail ao aluno. Ao remarcar, o professor escolhe qualquer horário livre, sem ficar preso à grade de disponibilidade — a grade existe para conter o aluno, não ele.</t>
        </is>
      </c>
      <c r="D258" s="9" t="inlineStr">
        <is>
          <t>Plataforma</t>
        </is>
      </c>
      <c r="E258" s="9" t="inlineStr">
        <is>
          <t>Concluído</t>
        </is>
      </c>
      <c r="F258" s="9" t="n">
        <v>257</v>
      </c>
      <c r="G258" s="9" t="n">
        <v>254</v>
      </c>
      <c r="H258" s="9" t="inlineStr">
        <is>
          <t>Matheus, 05/08 — foi usar e não achou o botão</t>
        </is>
      </c>
      <c r="I258" s="9" t="inlineStr">
        <is>
          <t>Entregue pelo Code em 05/08, commit a20e1d0, provado em produção na conta e sessões reais do Matheus. TESTE DECISIVO: sessão a menos de 24h ligada a um link com prazo de 24h — o cancelamento pelo professor passou, confirmando que exigirElegibilidade (regra do aluno) nunca é chamada no caminho do professor. Cancelar com motivo e sem motivo: e-mail sai com/sem a frase do motivo, sessão risca como 'Cancelada por você', evento do Google some, 'faltam agendar' sobe. Remarcar 3 vezes seguidas: remarcacoes ficou em 0 nas 3 vezes (o contador é só do aluno); depois o aluno remarcou pelo próprio link e aí sim remarcacoes subiu para 1, confirmando que os dois caminhos não se misturam. Evento do Google: mesma linha (mesmo id e google_event_id) nas 3 remarcações do professor — moveu, não duplicou. Sessão já concluída: sem os botões. Achado de passagem, não corrigido aqui: agendarSessao rejeita 'Link da chamada' vazio (Zod só libera undefined, não string vazia) — sessão presencial sem link falha ao salvar. Achado de passagem #2: o campo 'Link de agendamento' da #255 grava certo tanto ao criar quanto ao editar o pacote, sem ressalva. Dados de teste apagados; link 'teste-mentoria' voltou ao estado original (permite_remarcar=false). CONFERÊNCIA DO CHAT: exigirElegibilidade NÃO vaza para o professor (só nas 3 funções do aluno, linhas 950/995/1022, com comentário documentando a decisão em :1265). remarcacoes só é incrementado em remarcarSessaoAluno (:1043) — o professor não mexe no contador do aluno. cancelamento_motivo e avisarAluno existem. Banco de sessões limpo e link restaurado. RESSALVA NÃO DECLARADA no relato: 'qualquer horário livre' virou, no código, uma janela FIXA de 07:00 às 21:00 por 90 dias (JANELA_PROFESSOR_*). É razoável ter limite, mas não é o que foi pedido — sessão às 22h ou 06h fica inalcançável. Decidir se fica ou vira configurável. SEGUNDA RESSALVA: o relato diz que os avisos de teste foram apagados; duas notificações 'Fulado de Tal remarcou a sessão TESTE MENTORIA' (02:31 e 02:32) continuam no sino.</t>
        </is>
      </c>
    </row>
    <row r="259">
      <c r="A259" s="9" t="n">
        <v>258</v>
      </c>
      <c r="B259" s="9" t="inlineStr">
        <is>
          <t>Endurecer pessoaIdsDoAluno: filtrar por auth.uid(), não só por ter login</t>
        </is>
      </c>
      <c r="C259" s="9" t="inlineStr">
        <is>
          <t>Em agendamento.functions.ts, pessoaIdsDoAluno sem preview faz people.select('id').not('user_id','is',null) e devolve TODAS as pessoas com login que o solicitante enxerga. Para um aluno a RLS (people_self_read: user_id = auth.uid()) já limita a 1, então não há vazamento entre alunos — confirmado no banco. Mas para o DONO ou um COLABORADOR abrindo o próprio painel de aluno, a lista traz todas as pessoas com login da conta, o que permite agendar no pacote de outra pessoa sem passar pelo 'Ver como aluno'. O correto é filtrar por user_id = auth.uid(). Não é buraco de segurança hoje: é frouxidão que depende da RLS para não virar um. Se alguma policy de people mudar amanhã, esta função vira a porta.</t>
        </is>
      </c>
      <c r="D259" s="9" t="inlineStr">
        <is>
          <t>Segurança / RLS</t>
        </is>
      </c>
      <c r="E259" s="9" t="inlineStr">
        <is>
          <t>Concluído</t>
        </is>
      </c>
      <c r="F259" s="9" t="n">
        <v>258</v>
      </c>
      <c r="G259" s="9" t="n"/>
      <c r="H259" s="9" t="inlineStr">
        <is>
          <t>Conferência do chat sobre a #255, 05/08</t>
        </is>
      </c>
      <c r="I259" s="9" t="inlineStr">
        <is>
          <t>Commit b535f68. Trocado o filtro por user_id = context.userId (= auth.uid()) em pessoaIdsDoAluno (agendamento.functions.ts). Mesma correção aplicada em getStudentArea (student.functions.ts) — a tela principal do painel do aluno tinha o mesmo padrão, achado ao ler o arquivo completo antes de mexer. Caminho de preview não foi tocado. Provado em produção: dono no próprio /aluno/mentorias sem preview passou a ver só o pacote de Fulado de Tal (a única pessoa cujo user_id é o uid dele); antes trazia todo mundo com login da conta. Agendar pelo painel e 'Ver como aluno' testados e intactos, local e produção.</t>
        </is>
      </c>
    </row>
    <row r="260">
      <c r="A260" s="9" t="n">
        <v>259</v>
      </c>
      <c r="B260" s="9" t="inlineStr">
        <is>
          <t>Agendar sessão manual falha em silêncio quando 'Link da chamada' fica em branco</t>
        </is>
      </c>
      <c r="C260" s="9" t="inlineStr">
        <is>
          <t>Na tela do pacote de mentoria, botão 'Agendar sessão': deixando o campo 'Link da chamada' vazio, o salvamento falha sem mostrar erro nenhum — o professor clica, nada acontece, e ele não sabe por quê. Campo opcional que trava a tela é pior que campo obrigatório, porque ninguém adivinha o que fazer. Achado pelo Code durante a #257, fora do escopo dela. Ele avisou que registraria e não registrou — quem registrou foi o chat, na conferência.</t>
        </is>
      </c>
      <c r="D260" s="9" t="inlineStr">
        <is>
          <t>Plataforma</t>
        </is>
      </c>
      <c r="E260" s="9" t="inlineStr">
        <is>
          <t>Concluído</t>
        </is>
      </c>
      <c r="F260" s="9" t="n">
        <v>259</v>
      </c>
      <c r="G260" s="9" t="n"/>
      <c r="H260" s="9" t="inlineStr">
        <is>
          <t>Claude Code, 05/08 — achado de passagem na #257</t>
        </is>
      </c>
      <c r="I260" s="9" t="inlineStr">
        <is>
          <t>Commit 95dafbf. link_url trocou de z.string().trim().url().max(1000) para urlOpcional (url-segura.ts) — mesma validação já usada em avatar_url/capa_url/cover_url/video_url: "" vale como "sem link". Provado em produção: agendar online com link vazio salva certo (link_url null) e a sessão aparece na lista; com link preenchido continua funcionando; URL mal formada de verdade ainda mostra algo na tela (não fica mudo), só que em formato de JSON cru do Zod — padrão repetido em todo inputValidator da plataforma, fora do escopo desta demanda pontual. Varredura da mesma tela achou link_id (editar pacote) com o mesmo formato de schema, mas o frontend já manda null antes de enviar — sem bug ativo, só a mesma fragilidade latente; registrado, não corrigido.</t>
        </is>
      </c>
    </row>
    <row r="261">
      <c r="A261" s="9" t="n">
        <v>260</v>
      </c>
      <c r="B261" s="9" t="inlineStr">
        <is>
          <t>Mais 5 tabelas com o mesmo padrão autorreferente da #253</t>
        </is>
      </c>
      <c r="C261" s="9" t="inlineStr">
        <is>
          <t>A varredura feita durante a #253 achou a mesma estrutura arriscada — policy de SELECT que chama função STABLE lendo a PRÓPRIA tabela — em biblioteca_materiais, eventos, evento_destinos, treinamentos e treinamento_grupos. O Code testou os três caminhos que hoje rodam esse tipo de operação (criar evento, criar treinamento, enviar material) e nenhum falhou. Ou seja: a bomba existe mas não está armada nessas cinco. O que NÃO foi respondido, e é a pergunta que importa: POR QUE groups falhava e essas não? Sem essa resposta não dá para saber se estão seguras ou apenas sortudas — e a diferença é o dia em que alguém acrescentar um RETURNING numa delas.</t>
        </is>
      </c>
      <c r="D261" s="9" t="inlineStr">
        <is>
          <t>Segurança / RLS</t>
        </is>
      </c>
      <c r="E261" s="9" t="inlineStr">
        <is>
          <t>Planejado</t>
        </is>
      </c>
      <c r="F261" s="9" t="n">
        <v>260</v>
      </c>
      <c r="G261" s="9" t="n"/>
      <c r="H261" s="9" t="inlineStr">
        <is>
          <t>Claude Code, 05/08 — varredura pedida na #253</t>
        </is>
      </c>
      <c r="I261" s="9" t="n"/>
    </row>
    <row r="262">
      <c r="A262" s="9" t="n">
        <v>261</v>
      </c>
      <c r="B262" s="9" t="inlineStr">
        <is>
          <t>Marca do mentor na tela de login: o mecanismo, provado numa tela</t>
        </is>
      </c>
      <c r="C262" s="9" t="inlineStr">
        <is>
          <t>Hoje logo, nome, frase, rodapé e cor de fundo da tela de login estão CRAVADOS em auth.tsx:130-141. Passam a vir das Configurações de marca. Decisão do Matheus (05/08): a tela pública descobre de quem é a marca PELO ENDEREÇO do site — tabela dominios_conta, hoje com uma linha, para o segundo cliente não virar cirurgia. Campos novos em profiles: login_imagem_url, login_frase, login_rodape (todos opcionais; sem imagem o painel volta ao fundo sólido na cor da marca). O ENDPOINT É PÚBLICO: devolver lista fechada de campos, nunca profiles inteiro — ele guarda CNPJ e e-mails internos. Bucket 'marca' é privado: seguir o padrão de api.icone.$tamanho.ts, não inventar outro. Fallback obrigatório para host desconhecido (preview do Lovable). Ver docs/plano-marca-publica.md.</t>
        </is>
      </c>
      <c r="D262" s="9" t="inlineStr">
        <is>
          <t>Plataforma</t>
        </is>
      </c>
      <c r="E262" s="9" t="inlineStr">
        <is>
          <t>Concluído</t>
        </is>
      </c>
      <c r="F262" s="9" t="n">
        <v>261</v>
      </c>
      <c r="G262" s="9" t="n"/>
      <c r="H262" s="9" t="inlineStr">
        <is>
          <t>Matheus, 05/08</t>
        </is>
      </c>
      <c r="I262" s="9" t="inlineStr">
        <is>
          <t>Fechado em 43a5f5a (ponto de retorno em 6b4926b; publicado e bundle conferido — latest_commit_sha bate com 43a5f5a). A marca vem do HOST do pedido: dominios_conta nasceu com uma linha (assessment.metodointencao.com.br -&gt; o Matheus, padrao=true) — resolveContaPorHost/loadPublicLoginBrand em brand.server.ts substituíram a antiga resolveContaUnica, que só funcionava com um cliente só (o próprio código já avisava disso). GET /api/marca devolve a lista fechada de 7 campos (company_name, logo_url, brand_color, brand_accent_color, login_imagem_url, login_frase, login_rodape), sem cache. TESTE QUE DECIDE, em produção, sem sessão nenhuma: chamei o endpoint por curl e conferi campo a campo — devolveu exatamente esses 7, nenhum CNPJ, e-mail ou qualquer outro campo de profiles. Testei o mecanismo inteiro ao vivo, pela tela real de Configurações → Marca (dono logado em produção): troquei frase e rodapé, salvei, abri /auth numa aba nova sem sessão — apareceram na hora, sem publicar nada. Subi uma imagem lateral pela tela (recorte vertical, bucket 'marca') — apareceu como fundo do painel; cliquei Remover — voltou ao fundo sólido na cor da marca (#00b0f0), sem quebrar. Testei o fallback: o preview do Lovable (host que não está na tabela) mostrou a marca padrão normalmente, não uma tela sem identidade. Login por e-mail/senha e por Google continuam intactos — só o painel visual mudou, a lógica de autenticação não foi tocada. ACHADO EXTRA, corrigido no mesmo commit: /api/icone e /api/manifest usavam a mesma resolveContaUnica ("pega o profiles mais antigo") — migrados para o mesmo resolveContaPorHost, fechando o mesmo risco que a própria função antiga já documentava ("antes do segundo cliente..."). LIMPEZA COM PROVA: frase/rodapé/imagem de teste voltaram a null, o arquivo de teste no bucket foi apagado (confirmado por REST) — só restou a linha real de dominios_conta (o seed, não é dado de teste). RESSALVA: #262 (espalhar para /criar-senha, /convite-equipe, /checkin, /agendar/$slug, /sessao/$id) fica para depois, de propósito — o mecanismo foi provado numa tela só.</t>
        </is>
      </c>
    </row>
    <row r="263">
      <c r="A263" s="9" t="n">
        <v>262</v>
      </c>
      <c r="B263" s="9" t="inlineStr">
        <is>
          <t>Espalhar a marca para as demais telas públicas</t>
        </is>
      </c>
      <c r="C263" s="9" t="inlineStr">
        <is>
          <t>Aplicar o mecanismo da #261 em /criar-senha, /aluno/criar-senha, /convite-equipe, /checkin, /agendar/$slug e /sessao/$id — o que o Matheus pediu: alterar em Configurações e refletir em tudo. Trabalho pequeno DEPOIS da #261, e só pequeno por causa dela. Encosta na #108 (selo no rodapé das públicas), que lista quase as mesmas telas: resolver as duas juntas em vez de passar duas vezes pelos mesmos arquivos. Encosta também na #248 (Fatia 4c), que prevê foto e nome na página de agendamento — se esta vier antes, a 4c herda pronto.</t>
        </is>
      </c>
      <c r="D263" s="9" t="inlineStr">
        <is>
          <t>Plataforma</t>
        </is>
      </c>
      <c r="E263" s="9" t="inlineStr">
        <is>
          <t>Planejado</t>
        </is>
      </c>
      <c r="F263" s="9" t="n">
        <v>262</v>
      </c>
      <c r="G263" s="9" t="n">
        <v>261</v>
      </c>
      <c r="H263" s="9" t="inlineStr">
        <is>
          <t>Matheus, 05/08</t>
        </is>
      </c>
      <c r="I263" s="9" t="n"/>
    </row>
    <row r="264">
      <c r="A264" s="9" t="n">
        <v>263</v>
      </c>
      <c r="B264" s="9" t="inlineStr">
        <is>
          <t>Erro de validação aparece como código bruto em toda a plataforma</t>
        </is>
      </c>
      <c r="C264" s="9" t="inlineStr">
        <is>
          <t>Quando um campo com validação Zod recusa o valor (ex.: link mal formado em 'Link da chamada'), a mensagem chega à tela em formato de código, não em português legível. Não é de um campo: repete em qualquer formulário da plataforma que use o mesmo caminho de erro. Achado pelo Code durante a #259, fora do escopo. Ele avisou que anotaria no Notion — não anotou; quem registrou foi o chat, na conferência (quarta vez que isso acontece). O conserto é um tradutor de erro no ponto onde a mensagem vira toast, não campo a campo — senão vira 40 consertos iguais.</t>
        </is>
      </c>
      <c r="D264" s="9" t="inlineStr">
        <is>
          <t>Plataforma</t>
        </is>
      </c>
      <c r="E264" s="9" t="inlineStr">
        <is>
          <t>Planejado</t>
        </is>
      </c>
      <c r="F264" s="9" t="n">
        <v>263</v>
      </c>
      <c r="G264" s="9" t="n"/>
      <c r="H264" s="9" t="inlineStr">
        <is>
          <t>Claude Code, 05/08 — achado de passagem na #259</t>
        </is>
      </c>
      <c r="I264" s="9" t="n"/>
    </row>
    <row r="265">
      <c r="A265" s="9" t="n">
        <v>264</v>
      </c>
      <c r="B265" s="9" t="inlineStr">
        <is>
          <t>URGENTE: o dono pode se convidar como mentor e derruba a própria conta</t>
        </is>
      </c>
      <c r="C265" s="9" t="inlineStr">
        <is>
          <t>Em 05/08 às 12:16 nasceu uma linha em team_members com owner_id = user_id = o Matheus e kind='mentor' — ele se convidou como mentor convidado da própria conta, pela tela de Colaboradores (a pessoa 'Fulado de Tal' é o e-mail principal dele). Ao entrar, claim_team_membership associou o user_id, member_kind() passou a devolver 'mentor', e TODAS as policies com 'AND member_kind() &lt;&gt; mentor' passaram a barrá-lo: perdeu criar, editar e apagar em quase tudo, e visible_group_ids() devolveu só os grupos atribuídos a ele (nenhum). CONSERTO EMERGENCIAL DO CHAT: a linha foi posta em status 'inativo' (não apagada), e member_kind() voltou a 'owner' — confirmado por simulação SQL. Mas a tela continua permitindo refazer, e reativar a linha quebra tudo de novo. PRECISA DE DUAS DEFESAS: (1) a tela recusa convidar alguém cujo user_id é o dono da conta; (2) mais importante, acting_account() e member_kind() IGNORAM linha onde user_id = owner_id — o dono nunca é membro de si mesmo. A segunda vale mais que a primeira: mesmo que a linha exista por qualquer caminho, o sistema não se autodestrói. É o terceiro incidente de permissão em uma semana (30/07 imagens, 31/07 login).</t>
        </is>
      </c>
      <c r="D265" s="9" t="inlineStr">
        <is>
          <t>Equipe / Permissões</t>
        </is>
      </c>
      <c r="E265" s="9" t="inlineStr">
        <is>
          <t>Concluído</t>
        </is>
      </c>
      <c r="F265" s="9" t="n">
        <v>264</v>
      </c>
      <c r="G265" s="9" t="n"/>
      <c r="H265" s="9" t="inlineStr">
        <is>
          <t>Matheus, 05/08 — perdeu o acesso de dono ao entrar</t>
        </is>
      </c>
      <c r="I265" s="9" t="inlineStr">
        <is>
          <t>Entregue pelo Code em 05/08. CONFERÊNCIA DO CHAT — os dois lados provados por simulação SQL, em transação com rollback: (1) COM A LINHA DO INCIDENTE REATIVADA, o Matheus continua 'owner', com 1 grupo e 7 pessoas visíveis — o piso funciona, o estado inválido é ignorado mesmo quando existe e está ativo; (2) um mentor convidado DE VERDADE (owner_id &lt;&gt; user_id, testado com o user real do colaborador) continua 'mentor', apontando para a conta certa e limitado a 0 grupos — a condição NÃO ficou larga demais, que era o risco de escrever a defesa errada. Migração 20260805050000, com a condição exatamente 'tm.user_id &lt;&gt; tm.owner_id' em acting_account() e member_kind(). O Code ainda achou e fechou dois irmãos do mesmo bug: aceitar convite endereçado à própria conta, e o selo 'É mentor' na ficha considerando linha inativa. Linha do incidente segue guardada e inativa.</t>
        </is>
      </c>
    </row>
    <row r="266">
      <c r="A266" s="9" t="n">
        <v>265</v>
      </c>
      <c r="B266" s="9" t="inlineStr">
        <is>
          <t>Login por e-mail estava desligado no Supabase - so Google entrava</t>
        </is>
      </c>
      <c r="C266" s="9" t="inlineStr">
        <is>
          <t>A chave 'Enable email provider' estava DESLIGADA no painel. A descricao dela e literal: 'Allow email-based sign up AND log in' - fechava cadastro E login. Ninguem entrava com e-mail e senha: nem colaborador, nem aluno. So quem usava Google. O Matheus entra pelo Google, por isso ninguem tinha notado. CAUSA: ao fechar o cadastro publico (decisao certa), foi desligada a chave errada. A correta e 'Allow new users to sign up', que continuava LIGADA - o cadastro publico nunca esteve fechado de fato. RESPONSABILIDADE DO CHAT: em 03/08 registrei no CLAUDE.md que 'a criacao de conta dentro da plataforma esta intacta', tendo testado so o signup publico e o admin/generate_link - nenhum dos dois e o caminho que um colaborador percorre. Terceira vez testando os extremos e nao o meio (#245, #254). Virou regra no CLAUDE.md.</t>
        </is>
      </c>
      <c r="D266" s="9" t="inlineStr">
        <is>
          <t>Infra</t>
        </is>
      </c>
      <c r="E266" s="9" t="inlineStr">
        <is>
          <t>Concluído</t>
        </is>
      </c>
      <c r="F266" s="9" t="n">
        <v>265</v>
      </c>
      <c r="G266" s="9" t="inlineStr">
        <is>
          <t>Matheus</t>
        </is>
      </c>
      <c r="H266" s="9" t="inlineStr">
        <is>
          <t>Matheus, 05/08 - colaborador novo nao conseguiu entrar</t>
        </is>
      </c>
      <c r="I266" s="9" t="inlineStr">
        <is>
          <t>Matheus aplicou no painel em 05/08. CONFERIDO PELO CHAT por fora, com a chave anonima - e a prova esta na TROCA da mensagem de erro: (1) criar conta como estranho devolve agora 'signup_disabled - Signups not allowed for this instance'; antes devolvia 'email_provider_disabled'. A troca do codigo prova que quem fecha agora e o CADASTRO, nao o e-mail. (2) login com senha errada devolve 'invalid_credentials', ou seja, o servidor FOI CONFERIR a senha - se o provedor ainda estivesse desligado, teria recusado antes de olhar. NAO CONFERIDO daqui: cadastro via Google; a chave e global e vale para todos os provedores, mas testar OAuth por fora exigiria navegador com conta Google de terceiro.</t>
        </is>
      </c>
    </row>
    <row r="267">
      <c r="A267" s="9" t="n">
        <v>266</v>
      </c>
      <c r="B267" s="9" t="inlineStr">
        <is>
          <t>Fatia 4c-B: lembrete por e-mail antes da sessao</t>
        </is>
      </c>
      <c r="C267" s="9" t="inlineStr">
        <is>
          <t>Lembrete por e-mail antes da sessao. DECISOES DO MATHEUS (05/08): quantas horas antes e CONFIGURAVEL POR LINK (nao fixo no codigo), e o aviso vai para o ALUNO E PARA O PROFESSOR. NAO E RETOQUE - exige agendador. Conferido no banco: pg_cron, pg_net e http estao DISPONIVEIS no projeto mas NAO INSTALADAS. O aviso de vespera atual (20260730330000) e so do SINO, calculado na leitura, e cobre apenas aula e devolutiva. O e-mail sai pelo Resend, chamado pelo codigo da aplicacao (email.server.ts) - o cron mora no banco, entao precisa de ponte: uma rota nova protegida por segredo que o cron chama. Riscos proprios: e-mail duplicado se a trava falhar (pior que sino duplicado), e rota aberta disparando a fila para qualquer um.</t>
        </is>
      </c>
      <c r="D267" s="9" t="inlineStr">
        <is>
          <t>Agenda</t>
        </is>
      </c>
      <c r="E267" s="9" t="inlineStr">
        <is>
          <t>Concluído</t>
        </is>
      </c>
      <c r="F267" s="9" t="n">
        <v>266</v>
      </c>
      <c r="G267" s="9" t="n">
        <v>248</v>
      </c>
      <c r="H267" s="9" t="inlineStr">
        <is>
          <t>Matheus, 05/08 - fatiado da 4c</t>
        </is>
      </c>
      <c r="I267" s="9" t="inlineStr">
        <is>
          <t>Commit a6bfaf2. Migração 20260805070000_lembrete_por_email.sql: habilita pg_cron+pg_net, cria mentoria_links.lembrete_horas (int[], default {24}), cria lembretes_enviados (sessao_id+horas+destinatario UNIQUE) e agenda cron.schedule('enviar-lembretes-mentoria', '*/15 * * * *') chamando /api/cron/lembretes — jobid=1, active=true, confirmado via cron.job. Rota protegida por CRON_SECRET (header x-cron-secret; sem bater, 404 nunca 401 — confirmado sem segredo e com segredo errado, inclusive depois do segredo real configurado em produção pelo Matheus). Checklist completo provado em produção com sessão de teste real (link teste-mentoria, lembrete_horas=[24]): 1ª chamada -&gt; enviados=2/avaliados=1, os dois e-mails (aluno e mentor) chegaram de verdade na caixa de matheusguedes@metodointencao.com.br com quando/duração/onde corretos (abri as duas mensagens, não só o log) — assunto 'Lembrete: sua sessão "TESTE MENTORIA" é em breve' pro aluno, 'Lembrete: sessão com Teste Lembrete 266 em breve' pro mentor. TESTE QUE DECIDE: 2ª chamada imediata -&gt; enviados=0/avaliados=1, lembretes_enviados continuou com as mesmas 2 linhas (mesmo enviado_em) — a UNIQUE bloqueou o reenvio, nenhum e-mail duplicado nem no banco nem na caixa. Sessão cancelada -&gt; avaliados=0 (nem entra na consulta, checado por status=agendada na hora de enviar, não na hora de agendar). Link com lembrete_horas=[] -&gt; avaliados=0. Dados de teste apagados e conferidos vazios (people d487381e, mentorias 4f68c792, mentoria_sessoes 4f10c51a + as 2 linhas de lembretes_enviados em cascata) e o link teste-mentoria restaurado para lembrete_horas=[24]. pg_cron fica ligado de propósito, rodando a cada 15 min — é a entrega, não resíduo de teste.</t>
        </is>
      </c>
    </row>
    <row r="268">
      <c r="A268" s="9" t="n">
        <v>267</v>
      </c>
      <c r="B268" s="9" t="inlineStr">
        <is>
          <t>Fatia 4c-C: formulario de reserva personalizavel</t>
        </is>
      </c>
      <c r="C268" s="9" t="inlineStr">
        <is>
          <t>Perguntas proprias no momento do agendamento, definidas por link. TIPOS ESCOLHIDOS PELO MATHEUS (05/08): texto livre, escolha entre opcoes, escala de 1 a 10, sim/nao, caixa de selecao (multipla escolha) e data. Lista FECHADA - outros tipos viram demanda propria, para nao virar construtor de formulario infinito. REAPROVEITAR o que ja existe: test_questions.type ja tem multiple_choice, checkboxes e linear_scale, com config jsonb. Nao inventar um segundo sistema de pergunta na mesma plataforma.</t>
        </is>
      </c>
      <c r="D268" s="9" t="inlineStr">
        <is>
          <t>Agenda</t>
        </is>
      </c>
      <c r="E268" s="9" t="inlineStr">
        <is>
          <t>Planejado</t>
        </is>
      </c>
      <c r="F268" s="9" t="n">
        <v>267</v>
      </c>
      <c r="G268" s="9" t="n"/>
      <c r="H268" s="9" t="inlineStr">
        <is>
          <t>Matheus, 05/08 - fatiado da 4c</t>
        </is>
      </c>
      <c r="I268" s="9" t="n"/>
    </row>
    <row r="269">
      <c r="A269" s="9" t="n">
        <v>268</v>
      </c>
      <c r="B269" s="9" t="inlineStr">
        <is>
          <t>Promover um mentor afiliado de verdade e acompanhar até ele entrar</t>
        </is>
      </c>
      <c r="C269" s="9" t="inlineStr">
        <is>
          <t>O que sobrou da #102. O fluxo de convite por e-mail foi provado em 05/08 com a colaboradora Gabi, mas o caso do MENTOR AFILIADO com um terceiro real nunca aconteceu — o único promovido a mentor foi o próprio Matheus, e o resultado foi a #264 (ele virou mentor de si mesmo e perdeu o acesso de dono). Depois da #264, promover a si mesmo passou a ser recusado; falta exercitar com outra pessoa. Precisa de um parceiro de verdade para convidar — depende do Matheus, não de construção. Ao fazer, conferir: o e-mail chega, ele cria a senha, entra, e enxerga SÓ os grupos atribuídos a ele (member_kind='mentor').</t>
        </is>
      </c>
      <c r="D269" s="9" t="inlineStr">
        <is>
          <t>Infra</t>
        </is>
      </c>
      <c r="E269" s="9" t="inlineStr">
        <is>
          <t>Planejado</t>
        </is>
      </c>
      <c r="F269" s="9" t="n">
        <v>268</v>
      </c>
      <c r="G269" s="9" t="inlineStr">
        <is>
          <t>Matheus</t>
        </is>
      </c>
      <c r="H269" s="9" t="inlineStr">
        <is>
          <t>Fatiado da #102 em 05/08</t>
        </is>
      </c>
      <c r="I269" s="9" t="n"/>
    </row>
    <row r="270">
      <c r="A270" s="9" t="n">
        <v>269</v>
      </c>
      <c r="B270" s="9" t="inlineStr">
        <is>
          <t>Agenda abre na semana ERRADA quando a visão salva é 'semana'</t>
        </is>
      </c>
      <c r="C270" s="9" t="inlineStr">
        <is>
          <t>Achado pelo chat ao conferir a #92, abrindo a tela. Hoje é quarta 05/08 e a agenda abre mostrando 26/07 a 01/08 — a semana PASSADA. CAUSA: o estado inicial de `ref` é sempre o dia 1º do mês (agenda.tsx:155, `new Date(hoje.getFullYear(), hoje.getMonth(), 1)`), herdado da lógica da visão de mês, onde faz sentido. Mas a semana é calculada como o domingo de `ref` (:186): com ref = sábado 01/08, o domingo é 26/07. Em qualquer mês que comece no meio da semana, quem tem 'semana' salvo no navegador abre no passado. O botão 'Hoje' corrige (irParaHoje já trata os dois modos, :328), mas o estado INICIAL não. CONSERTO: `ref` inicial passa a ser o dia de hoje, não o dia 1. A visão de mês não se importa — ela só usa ref.getFullYear() e ref.getMonth() (:208, :224, :229), nunca ref.getDate(). Uma linha. ATENÇÃO: o modo vem do localStorage num efeito que roda DEPOIS do estado inicial (:159-162), então conferir que a primeira renderização em modo semana já nasce certa, sem piscar a semana errada.</t>
        </is>
      </c>
      <c r="D270" s="9" t="inlineStr">
        <is>
          <t>Agenda</t>
        </is>
      </c>
      <c r="E270" s="9" t="inlineStr">
        <is>
          <t>Concluído</t>
        </is>
      </c>
      <c r="F270" s="9" t="n">
        <v>269</v>
      </c>
      <c r="G270" s="9" t="n"/>
      <c r="H270" s="9" t="inlineStr">
        <is>
          <t>Chat, 05/08 — conferência da #92, abrindo a tela</t>
        </is>
      </c>
      <c r="I270" s="9" t="inlineStr">
        <is>
          <t>Fechado junto com a #237 (commit b30f09e, publicado no mesmo deploy). Uma linha: o estado inicial de `ref` em agenda.tsx passou a nascer no dia de hoje (hoje.getDate()) em vez do dia 1 do mês. TESTE QUE DECIDE, em produção, no cenário exato do bug: com 'semana' salva como visão preferida, recarreguei a página do zero (não só cliquei no botão) — abriu direto em '2 – 8 de Agosto de 2026', a semana que contém hoje (quarta 05/08), não mais a semana passada (26/07–01/08).</t>
        </is>
      </c>
    </row>
    <row r="271">
      <c r="A271" s="9" t="n">
        <v>270</v>
      </c>
      <c r="B271" s="9" t="inlineStr">
        <is>
          <t>Card de Mentorias no Dashboard</t>
        </is>
      </c>
      <c r="C271" s="9" t="inlineStr">
        <is>
          <t>O pedaço que saiu da #237 por decisão do Matheus em 05/08. Sessões desta semana, quantas faltam agendar e satisfação média com a contagem. DEPENDE DA #229 (Fatia 3), que é quem constrói essas contas — o Dashboard só consome. Fazer antes significaria calcular as mesmas médias em dois lugares, e no dia em que uma conta mudasse um dos dois passaria a mentir sem avisar. Toda média sai COM a contagem: '4,5 (2 avaliações)', nunca o número sozinho.</t>
        </is>
      </c>
      <c r="D271" s="9" t="inlineStr">
        <is>
          <t>Plataforma</t>
        </is>
      </c>
      <c r="E271" s="9" t="inlineStr">
        <is>
          <t>Planejado</t>
        </is>
      </c>
      <c r="F271" s="9" t="n">
        <v>270</v>
      </c>
      <c r="G271" s="9" t="n">
        <v>229</v>
      </c>
      <c r="H271" s="9" t="inlineStr">
        <is>
          <t>Fatiado da #237 em 05/08</t>
        </is>
      </c>
      <c r="I271" s="9" t="n"/>
    </row>
  </sheetData>
  <autoFilter ref="A1:I271"/>
  <conditionalFormatting sqref="A2:I271">
    <cfRule type="expression" priority="1" dxfId="0" stopIfTrue="0">
      <formula>$E2="Planejado"</formula>
    </cfRule>
    <cfRule type="expression" priority="2" dxfId="1" stopIfTrue="0">
      <formula>$E2="Em andamento"</formula>
    </cfRule>
    <cfRule type="expression" priority="3" dxfId="2" stopIfTrue="0">
      <formula>$E2="Concluído"</formula>
    </cfRule>
    <cfRule type="expression" priority="4" dxfId="3" stopIfTrue="0">
      <formula>$E2="Precisa de melhorias"</formula>
    </cfRule>
  </conditionalFormatting>
  <dataValidations count="1">
    <dataValidation sqref="E2:E271" showDropDown="0" showInputMessage="0" showErrorMessage="0" allowBlank="0" errorTitle="Status inválido" error="Use um dos quatro status do quadro." type="list">
      <formula1>"Planejado,Em andamento,Concluído,Precisa de melhorias"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0" t="inlineStr">
        <is>
          <t>Como esta planilha funciona</t>
        </is>
      </c>
    </row>
    <row r="2">
      <c r="A2" s="11" t="inlineStr"/>
    </row>
    <row r="3">
      <c r="A3" s="11" t="inlineStr">
        <is>
          <t>A aba Demandas é a fonte. A aba Kanban é só uma vista: ela se remonta sozinha</t>
        </is>
      </c>
    </row>
    <row r="4">
      <c r="A4" s="11" t="inlineStr">
        <is>
          <t>quando você muda o Status. Não digite nada direto no quadro — some na próxima</t>
        </is>
      </c>
    </row>
    <row r="5">
      <c r="A5" s="11" t="inlineStr">
        <is>
          <t>atualização.</t>
        </is>
      </c>
    </row>
    <row r="6">
      <c r="A6" s="11" t="inlineStr"/>
    </row>
    <row r="7">
      <c r="A7" s="10" t="inlineStr">
        <is>
          <t>Os quatro status</t>
        </is>
      </c>
    </row>
    <row r="8">
      <c r="A8" s="11" t="inlineStr">
        <is>
          <t>Planejado — pedido registrado, ainda não começou.</t>
        </is>
      </c>
    </row>
    <row r="9">
      <c r="A9" s="11" t="inlineStr">
        <is>
          <t>Em andamento — está sendo construído agora.</t>
        </is>
      </c>
    </row>
    <row r="10">
      <c r="A10" s="11" t="inlineStr">
        <is>
          <t>Concluído — no ar e conferido na plataforma.</t>
        </is>
      </c>
    </row>
    <row r="11">
      <c r="A11" s="11" t="inlineStr">
        <is>
          <t>Precisa de melhorias — entregue, mas com ressalva: algo pela metade, um bug</t>
        </is>
      </c>
    </row>
    <row r="12">
      <c r="A12" s="11" t="inlineStr">
        <is>
          <t>conhecido, ou não testado com usuário real. A coluna 'Prova / ressalva' diz o quê.</t>
        </is>
      </c>
    </row>
    <row r="13">
      <c r="A13" s="11" t="inlineStr"/>
    </row>
    <row r="14">
      <c r="A14" s="10" t="inlineStr">
        <is>
          <t>De quem depende</t>
        </is>
      </c>
    </row>
    <row r="15">
      <c r="A15" s="11" t="inlineStr">
        <is>
          <t>Claude — é meu, eu faço.</t>
        </is>
      </c>
    </row>
    <row r="16">
      <c r="A16" s="11" t="inlineStr">
        <is>
          <t>Matheus — decisão sua, senha sua, ou configuração fora da plataforma.</t>
        </is>
      </c>
    </row>
    <row r="17">
      <c r="A17" s="11" t="inlineStr">
        <is>
          <t>Depende de dados — só faz sentido quando houver amostra real na base.</t>
        </is>
      </c>
    </row>
    <row r="18">
      <c r="A18" s="11" t="inlineStr"/>
    </row>
    <row r="19">
      <c r="A19" s="10" t="inlineStr">
        <is>
          <t>Quem atualiza</t>
        </is>
      </c>
    </row>
    <row r="20">
      <c r="A20" s="11" t="inlineStr">
        <is>
          <t>Eu atualizo esta planilha sempre que uma demanda mudar de estado no nosso</t>
        </is>
      </c>
    </row>
    <row r="21">
      <c r="A21" s="11" t="inlineStr">
        <is>
          <t>trabalho, e você pode pedir 'atualize o kanban' a qualquer momento. Eu não rodo</t>
        </is>
      </c>
    </row>
    <row r="22">
      <c r="A22" s="11" t="inlineStr">
        <is>
          <t>sozinho o dia inteiro — então 'tempo real' aqui quer dizer: a cada sessão em que</t>
        </is>
      </c>
    </row>
    <row r="23">
      <c r="A23" s="11" t="inlineStr">
        <is>
          <t>mexermos em algo, e sempre no fim de uma entrega.</t>
        </is>
      </c>
    </row>
    <row r="24">
      <c r="A24" s="11" t="inlineStr"/>
    </row>
    <row r="25">
      <c r="A25" s="11" t="inlineStr">
        <is>
          <t>Você pode editar à vontade: mover status, mudar prioridade, escrever nas células.</t>
        </is>
      </c>
    </row>
    <row r="26">
      <c r="A26" s="11" t="inlineStr">
        <is>
          <t>Eu leio a planilha antes de atualizar, então o que você escrever não se perde.</t>
        </is>
      </c>
    </row>
    <row r="27">
      <c r="A27" s="11" t="inlineStr"/>
    </row>
    <row r="28">
      <c r="A28" s="11" t="inlineStr">
        <is>
          <t>Gerada em 12/08/2026 · 270 demandas · fonte no repo: scripts/kanban_dados.json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2026-08-12T15:35:47Z</dcterms:created>
  <dcterms:modified xsi:type="dcterms:W3CDTF">2026-08-12T15:35:47Z</dcterms:modified>
</cp:coreProperties>
</file>