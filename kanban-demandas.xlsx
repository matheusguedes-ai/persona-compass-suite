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nban" sheetId="1" state="visible" r:id="rId1"/>
    <sheet name="Demandas" sheetId="2" state="visible" r:id="rId2"/>
    <sheet name="Como usar" sheetId="3" state="visible" r:id="rId3"/>
  </sheets>
  <definedNames>
    <definedName name="_xlnm._FilterDatabase" localSheetId="1" hidden="1">'Demandas'!$A$1:$I$268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667085"/>
      <sz val="10"/>
    </font>
    <font>
      <b val="1"/>
      <color rgb="003C4257"/>
      <sz val="12"/>
    </font>
    <font>
      <b val="1"/>
      <color rgb="007A5B00"/>
      <sz val="12"/>
    </font>
    <font>
      <b val="1"/>
      <color rgb="001B5E20"/>
      <sz val="12"/>
    </font>
    <font>
      <b val="1"/>
      <color rgb="008C2A1C"/>
      <sz val="12"/>
    </font>
    <font>
      <b val="1"/>
      <sz val="12"/>
    </font>
    <font>
      <sz val="10"/>
    </font>
  </fonts>
  <fills count="7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8EAF0"/>
      </patternFill>
    </fill>
    <fill>
      <patternFill patternType="solid">
        <fgColor rgb="00FFF0CC"/>
      </patternFill>
    </fill>
    <fill>
      <patternFill patternType="solid">
        <fgColor rgb="00D9F0DC"/>
      </patternFill>
    </fill>
    <fill>
      <patternFill patternType="solid">
        <fgColor rgb="00FBDDD8"/>
      </patternFill>
    </fill>
  </fills>
  <borders count="2">
    <border>
      <left/>
      <right/>
      <top/>
      <bottom/>
      <diagonal/>
    </border>
    <border>
      <left style="thin">
        <color rgb="00D0D5DD"/>
      </left>
      <right style="thin">
        <color rgb="00D0D5DD"/>
      </right>
      <top style="thin">
        <color rgb="00D0D5DD"/>
      </top>
      <bottom style="thin">
        <color rgb="00D0D5DD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/>
    </xf>
    <xf numFmtId="0" fontId="0" fillId="0" borderId="1" applyAlignment="1" pivotButton="0" quotePrefix="0" xfId="0">
      <alignment vertical="top" wrapText="1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</cellXfs>
  <cellStyles count="1">
    <cellStyle name="Normal" xfId="0" builtinId="0" hidden="0"/>
  </cellStyles>
  <dxfs count="4">
    <dxf>
      <fill>
        <patternFill patternType="solid">
          <bgColor rgb="00E8EAF0"/>
        </patternFill>
      </fill>
    </dxf>
    <dxf>
      <fill>
        <patternFill patternType="solid">
          <bgColor rgb="00FFF0CC"/>
        </patternFill>
      </fill>
    </dxf>
    <dxf>
      <fill>
        <patternFill patternType="solid">
          <bgColor rgb="00D9F0DC"/>
        </patternFill>
      </fill>
    </dxf>
    <dxf>
      <fill>
        <patternFill patternType="solid">
          <bgColor rgb="00FBDDD8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  <col width="3" customWidth="1" min="6" max="6"/>
    <col width="46" customWidth="1" min="7" max="7"/>
    <col width="3" customWidth="1" min="8" max="8"/>
  </cols>
  <sheetData>
    <row r="1">
      <c r="A1" s="1" t="inlineStr">
        <is>
          <t>Quadro de demandas — Thrive Profiler</t>
        </is>
      </c>
    </row>
    <row r="2">
      <c r="A2" s="2" t="inlineStr">
        <is>
          <t>Este quadro se monta sozinho a partir da aba Demandas. Para mover um cartão, mude o Status lá — não digite aqui.</t>
        </is>
      </c>
    </row>
    <row r="4" ht="30" customHeight="1">
      <c r="A4" s="3">
        <f>"Planejado  ("&amp;COUNTIF(Demandas!$E:$E,"Planejado")&amp;")"</f>
        <v/>
      </c>
      <c r="C4" s="4">
        <f>"Em andamento  ("&amp;COUNTIF(Demandas!$E:$E,"Em andamento")&amp;")"</f>
        <v/>
      </c>
      <c r="E4" s="5">
        <f>"Concluído  ("&amp;COUNTIF(Demandas!$E:$E,"Concluído")&amp;")"</f>
        <v/>
      </c>
      <c r="G4" s="6">
        <f>"Precisa de melhorias  ("&amp;COUNTIF(Demandas!$E:$E,"Precisa de melhorias")&amp;")"</f>
        <v/>
      </c>
    </row>
    <row r="5">
      <c r="A5" s="7">
        <f>IFERROR(SORT(FILTER(Demandas!$B$2:$B$300&amp;" · "&amp;Demandas!$D$2:$D$300,Demandas!$E$2:$E$300="Planejado"),1,TRUE),"—")</f>
        <v/>
      </c>
      <c r="C5" s="7">
        <f>IFERROR(SORT(FILTER(Demandas!$B$2:$B$300&amp;" · "&amp;Demandas!$D$2:$D$300,Demandas!$E$2:$E$300="Em andamento"),1,TRUE),"—")</f>
        <v/>
      </c>
      <c r="E5" s="7">
        <f>IFERROR(SORT(FILTER(Demandas!$B$2:$B$300&amp;" · "&amp;Demandas!$D$2:$D$300,Demandas!$E$2:$E$300="Concluído"),1,TRUE),"—")</f>
        <v/>
      </c>
      <c r="G5" s="7">
        <f>IFERROR(SORT(FILTER(Demandas!$B$2:$B$300&amp;" · "&amp;Demandas!$D$2:$D$300,Demandas!$E$2:$E$300="Precisa de melhorias"),1,TRUE),"—")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2" customWidth="1" min="2" max="2"/>
    <col width="62" customWidth="1" min="3" max="3"/>
    <col width="14" customWidth="1" min="4" max="4"/>
    <col width="20" customWidth="1" min="5" max="5"/>
    <col width="11" customWidth="1" min="6" max="6"/>
    <col width="16" customWidth="1" min="7" max="7"/>
    <col width="30" customWidth="1" min="8" max="8"/>
    <col width="52" customWidth="1" min="9" max="9"/>
  </cols>
  <sheetData>
    <row r="1" ht="26" customHeight="1">
      <c r="A1" s="8" t="inlineStr">
        <is>
          <t>#</t>
        </is>
      </c>
      <c r="B1" s="8" t="inlineStr">
        <is>
          <t>Demanda</t>
        </is>
      </c>
      <c r="C1" s="8" t="inlineStr">
        <is>
          <t>O que é</t>
        </is>
      </c>
      <c r="D1" s="8" t="inlineStr">
        <is>
          <t>Área</t>
        </is>
      </c>
      <c r="E1" s="8" t="inlineStr">
        <is>
          <t>Status</t>
        </is>
      </c>
      <c r="F1" s="8" t="inlineStr">
        <is>
          <t>Prioridade</t>
        </is>
      </c>
      <c r="G1" s="8" t="inlineStr">
        <is>
          <t>De quem depende</t>
        </is>
      </c>
      <c r="H1" s="8" t="inlineStr">
        <is>
          <t>Origem do pedido</t>
        </is>
      </c>
      <c r="I1" s="8" t="inlineStr">
        <is>
          <t>Prova / ressalva</t>
        </is>
      </c>
    </row>
    <row r="2">
      <c r="A2" s="9" t="n">
        <v>1</v>
      </c>
      <c r="B2" s="9" t="inlineStr">
        <is>
          <t>Vazamento do mentor afiliado no relatório por link</t>
        </is>
      </c>
      <c r="C2" s="9" t="inlineStr">
        <is>
          <t>A tela de relatório e a de plano de ação são públicas de propósito (o avaliado recebe o link por e-mail), mas são as MESMAS que o mentor logado abre dentro da plataforma. Elas nunca souberam distinguir os dois casos: um mentor convidado logado trocava o UUID na barra de endereço e via a resposta de qualquer pessoa da conta. No plano de ação dava até para sobrescrever o de outra pessoa (GET e POST).</t>
        </is>
      </c>
      <c r="D2" s="9" t="inlineStr">
        <is>
          <t>Infra</t>
        </is>
      </c>
      <c r="E2" s="9" t="inlineStr">
        <is>
          <t>Concluído</t>
        </is>
      </c>
      <c r="F2" s="9" t="n">
        <v>1</v>
      </c>
      <c r="G2" s="9" t="inlineStr">
        <is>
          <t>Claude</t>
        </is>
      </c>
      <c r="H2" s="9" t="inlineStr">
        <is>
          <t>docs/plano-area-do-aluno.md § Anexo 1, Risco a observar</t>
        </is>
      </c>
      <c r="I2" s="9" t="inlineStr">
        <is>
          <t>Fechado em 11a9253 (ponto de retorno em 2918f6e). podeVerPessoaAutenticado() em report.server.ts: sem sessão deixa passar (link público inalterado); com sessão monta cliente com o token de quem pediu e pergunta à policy de people — não reimplementa a regra. Aplicado em buildReport, buildBatteryReport e nas duas rotas do plano de ação. PROVADO com mentor convidado real em dois grupos: barrado fora do grupo, liberado dentro; dono e aluno inalterados; dados de teste apagados. RESSALVA: a checagem só roda quando há header de autenticação — barra curiosidade dentro do produto, não quem sai da sessão de propósito. O que segura de fato é o mentor não conseguir descobrir o UUID de outro grupo (policy de test_responses). A hipótese de que as policies de people/groups/devolutivas estavam abertas foi REFUTADA: o banco já estava correto.</t>
        </is>
      </c>
    </row>
    <row r="3">
      <c r="A3" s="9" t="n">
        <v>2</v>
      </c>
      <c r="B3" s="9" t="inlineStr">
        <is>
          <t>As migrações não reconstroem o banco</t>
        </is>
      </c>
      <c r="C3" s="9" t="inlineStr">
        <is>
          <t>supabase/migrations/ não contém o conteúdo nem parte das policies em produção: report_content aparece em só 2 dos ~60 arquivos, a policy rc_read_authenticated não está em nenhum, e os 208 blocos de relatório entraram via scripts/a</t>
        </is>
      </c>
      <c r="D3" s="9" t="inlineStr">
        <is>
          <t>Infra / Banco</t>
        </is>
      </c>
      <c r="E3" s="9" t="inlineStr">
        <is>
          <t>Concluído</t>
        </is>
      </c>
      <c r="F3" s="9" t="n">
        <v>2</v>
      </c>
      <c r="G3" s="9" t="inlineStr">
        <is>
          <t>Claude</t>
        </is>
      </c>
      <c r="H3" s="9" t="inlineStr">
        <is>
          <t>memory/migracao-supabase-proprio.md ("⚠️ As migrações estavam incompletas… report_content nem existia nelas");</t>
        </is>
      </c>
      <c r="I3" s="9" t="inlineStr">
        <is>
          <t>Retrato do banco em supabase/estado/ (schema.sql + conteudo.json), gerado por scripts/exportar_estado_banco.py e commitado.</t>
        </is>
      </c>
    </row>
    <row r="4">
      <c r="A4" s="9" t="n">
        <v>3</v>
      </c>
      <c r="B4" s="9" t="inlineStr">
        <is>
          <t>Bug de fuso: data aparecendo um dia antes</t>
        </is>
      </c>
      <c r="C4" s="9" t="inlineStr">
        <is>
          <t>Datas sem hora viram meia-noite UTC e já apareceram um dia antes; testar 1º e último dia do mês, e com o aluno logado.</t>
        </is>
      </c>
      <c r="D4" s="9" t="inlineStr">
        <is>
          <t>Agenda</t>
        </is>
      </c>
      <c r="E4" s="9" t="inlineStr">
        <is>
          <t>Concluído</t>
        </is>
      </c>
      <c r="F4" s="9" t="n">
        <v>3</v>
      </c>
      <c r="G4" s="9" t="inlineStr">
        <is>
          <t>Claude</t>
        </is>
      </c>
      <c r="H4" s="9" t="inlineStr">
        <is>
          <t>docs/plano-menu-gestao.md § Etapa 2, Testar · git log 562907c</t>
        </is>
      </c>
      <c r="I4" s="9" t="inlineStr">
        <is>
          <t>Corrigido em getDashboardStats: os buckets do gráfico usavam getMonth() cru num servidor em UTC. Agora Intl.DateTimeFormat em America/Sao_Paulo.</t>
        </is>
      </c>
    </row>
    <row r="5">
      <c r="A5" s="9" t="n">
        <v>4</v>
      </c>
      <c r="B5" s="9" t="inlineStr">
        <is>
          <t>Repasse do link ao vivo ainda fura o QR rotativo</t>
        </is>
      </c>
      <c r="C5" s="9" t="inlineStr">
        <is>
          <t>Quem repassa a URL dentro do minuto marca presença de casa; o backstop é o olho do professor e a lista ao vivo.</t>
        </is>
      </c>
      <c r="D5" s="9" t="inlineStr">
        <is>
          <t>Classroom</t>
        </is>
      </c>
      <c r="E5" s="9" t="inlineStr">
        <is>
          <t>Concluído</t>
        </is>
      </c>
      <c r="F5" s="9" t="n">
        <v>4</v>
      </c>
      <c r="G5" s="9" t="inlineStr">
        <is>
          <t>Claude</t>
        </is>
      </c>
      <c r="H5" s="9" t="inlineStr">
        <is>
          <t>docs/analise-classroom.md § O que a etapa 4 decidiu na prática, item 2</t>
        </is>
      </c>
      <c r="I5" s="9" t="inlineStr">
        <is>
          <t>Trava de local: o professor trava a aula onde ela acontece e o check-in exige estar no raio. Nasce desligada, raio de 300 m, folga pela precisão do GPS com teto de 250 m. Grava a distância, nunca a coordenada do aluno.</t>
        </is>
      </c>
    </row>
    <row r="6">
      <c r="A6" s="9" t="n">
        <v>5</v>
      </c>
      <c r="B6" s="9" t="inlineStr">
        <is>
          <t>Aluno sem login fica fora do ranking mesmo com presença registrada</t>
        </is>
      </c>
      <c r="C6" s="9" t="inlineStr">
        <is>
          <t>A própria tela da lista de presença declara: "Aluno sem login não entra no ranking" (src/components/lista-de-presenca.tsx:318). Quem o professor marca à mão por não ter conta comparece, conta na frequência, mas nunca recebe os 20</t>
        </is>
      </c>
      <c r="D6" s="9" t="inlineStr">
        <is>
          <t>Classroom / Ranking</t>
        </is>
      </c>
      <c r="E6" s="9" t="inlineStr">
        <is>
          <t>Concluído</t>
        </is>
      </c>
      <c r="F6" s="9" t="n">
        <v>5</v>
      </c>
      <c r="G6" s="9" t="inlineStr">
        <is>
          <t>Claude</t>
        </is>
      </c>
      <c r="H6" s="9" t="inlineStr">
        <is>
          <t>src/components/lista-de-presenca.tsx:316-321 (texto da tela); consequência do desenho da etapa 6</t>
        </is>
      </c>
      <c r="I6" s="9" t="inlineStr">
        <is>
          <t>claim_student_profile() concede os pontos de todas as aulas fechadas no primeiro acesso. A frase na tela passou a dizer isso.</t>
        </is>
      </c>
    </row>
    <row r="7">
      <c r="A7" s="9" t="n">
        <v>6</v>
      </c>
      <c r="B7" s="9" t="inlineStr">
        <is>
          <t>Aviso ao mudar o horário de uma aula que já tem presença</t>
        </is>
      </c>
      <c r="C7" s="9" t="inlineStr">
        <is>
          <t>Achado T14+T15 da revisão da etapa 4: ao salvar o horário de uma aula com presenças gravadas, deveria aparecer um AlertDialog ("3 pessoas já confirmaram presença. O atraso será recalculado a partir do novo horário"). Hoje o horári</t>
        </is>
      </c>
      <c r="D7" s="9" t="inlineStr">
        <is>
          <t>Classroom / Presença</t>
        </is>
      </c>
      <c r="E7" s="9" t="inlineStr">
        <is>
          <t>Concluído</t>
        </is>
      </c>
      <c r="F7" s="9" t="n">
        <v>6</v>
      </c>
      <c r="G7" s="9" t="inlineStr">
        <is>
          <t>Claude</t>
        </is>
      </c>
      <c r="H7" s="9" t="inlineStr">
        <is>
          <t>Tabela de achados da revisão do check-in (sessão 30/07, linha T14+T15); grep confirma que não existe AlertDial</t>
        </is>
      </c>
      <c r="I7" s="9" t="inlineStr">
        <is>
          <t>AlertDialog aparece ao salvar horário diferente numa aula com presença já gravada, com a contagem certa de pessoas e o texto pedido; 'Voltar' descarta sem salvar, confirmar salva e recalcula. Só o início dispara o aviso (o fim não entra no cálculo de atraso). Testado ao vivo sobre a aula real 'AULA 01' com fixture descartável, depois revertido ao horário original. Commit 2c1ddf9 (31/07).</t>
        </is>
      </c>
    </row>
    <row r="8">
      <c r="A8" s="9" t="n">
        <v>7</v>
      </c>
      <c r="B8" s="9" t="inlineStr">
        <is>
          <t>Derivações não calibradas e MBTI derivado sem J/P</t>
        </is>
      </c>
      <c r="C8" s="9" t="inlineStr">
        <is>
          <t>Os pesos em src/lib/derivations.ts são heurísticos fixos, sem calibração com dados reais, e o MBTI derivado do DISC só entrega 3 dos 4 eixos.</t>
        </is>
      </c>
      <c r="D8" s="9" t="inlineStr">
        <is>
          <t>Relatórios</t>
        </is>
      </c>
      <c r="E8" s="9" t="inlineStr">
        <is>
          <t>Concluído</t>
        </is>
      </c>
      <c r="F8" s="9" t="n">
        <v>7</v>
      </c>
      <c r="G8" s="9" t="inlineStr">
        <is>
          <t>Claude</t>
        </is>
      </c>
      <c r="H8" s="9" t="inlineStr">
        <is>
          <t>avaliacao-bateria-e-relatorios.md § Outros achados · CLAUDE.md § Estado atual (calibração dos pesos)</t>
        </is>
      </c>
      <c r="I8" s="9" t="inlineStr">
        <is>
          <t>Eixo J/P adicionado (a sigla saía com três letras). Sigla some com dois eixos abaixo de 55%. scripts/medir_derivacao_jung.py mede: era 4 tipos efetivos de 8, agora 16 de 16. Os 95,5% de colinearidade continuam e estão declarados no relatório — calibrar sem amostra seria fabricar.</t>
        </is>
      </c>
    </row>
    <row r="9">
      <c r="A9" s="9" t="n">
        <v>8</v>
      </c>
      <c r="B9" s="9" t="inlineStr">
        <is>
          <t>Revisão do teste de QI</t>
        </is>
      </c>
      <c r="C9" s="9" t="inlineStr">
        <is>
          <t>Único dos 7 instrumentos que não passou pela revisão de perguntas de 28/07: 20 questões com gabarito.</t>
        </is>
      </c>
      <c r="D9" s="9" t="inlineStr">
        <is>
          <t>Conteúdo</t>
        </is>
      </c>
      <c r="E9" s="9" t="inlineStr">
        <is>
          <t>Planejado</t>
        </is>
      </c>
      <c r="F9" s="9" t="n">
        <v>8</v>
      </c>
      <c r="G9" s="9" t="inlineStr">
        <is>
          <t>Claude</t>
        </is>
      </c>
      <c r="H9" s="9" t="inlineStr">
        <is>
          <t>estado-atual-e-fila.md item 14 · revisao-perguntas-dos-testes.md · CLAUDE.md § Estado atual e § Conteúdo</t>
        </is>
      </c>
      <c r="I9" s="9" t="inlineStr">
        <is>
          <t>Único instrumento sem revisão; gabarito errado vira resultado errado.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10">
      <c r="A10" s="9" t="n">
        <v>9</v>
      </c>
      <c r="B10" s="9" t="inlineStr">
        <is>
          <t>Academy: layout em fileiras (estilo Netflix)</t>
        </is>
      </c>
      <c r="C10" s="9" t="inlineStr">
        <is>
          <t>Item G-3: trilhas em prateleiras horizontais com capa, em vez da grade atual. Único pedaço do G que falta.</t>
        </is>
      </c>
      <c r="D10" s="9" t="inlineStr">
        <is>
          <t>Academy</t>
        </is>
      </c>
      <c r="E10" s="9" t="inlineStr">
        <is>
          <t>Concluído</t>
        </is>
      </c>
      <c r="F10" s="9" t="n">
        <v>9</v>
      </c>
      <c r="G10" s="9" t="inlineStr">
        <is>
          <t>Claude</t>
        </is>
      </c>
      <c r="H10" s="9" t="inlineStr">
        <is>
          <t>docs/plano-demandas-30-07.md § G item 3 · estado-atual-e-fila.md § Fila depois do Classroom</t>
        </is>
      </c>
      <c r="I10" s="9" t="inlineStr">
        <is>
          <t>Varredura completa do Claude Code, 03/08 (11 áreas, 237 demandas), cruzada com a varredura independente do chat. Academy em fileiras: learning-catalog.tsx:105 e :119, usado em cinco telas. O que faltava virou #110 e #113, essas sim pendentes.</t>
        </is>
      </c>
    </row>
    <row r="11">
      <c r="A11" s="9" t="n">
        <v>10</v>
      </c>
      <c r="B11" s="9" t="inlineStr">
        <is>
          <t>BUG: select 'Dimensão pontuada' abre vazio</t>
        </is>
      </c>
      <c r="C11" s="9" t="inlineStr">
        <is>
          <t>No editor de perguntas linear_scale, o select de dimensão aparece vazio mesmo com dimensão salva.</t>
        </is>
      </c>
      <c r="D11" s="9" t="inlineStr">
        <is>
          <t>Testes</t>
        </is>
      </c>
      <c r="E11" s="9" t="inlineStr">
        <is>
          <t>Concluído</t>
        </is>
      </c>
      <c r="F11" s="9" t="n">
        <v>10</v>
      </c>
      <c r="G11" s="9" t="inlineStr">
        <is>
          <t>Claude</t>
        </is>
      </c>
      <c r="H11" s="9" t="inlineStr">
        <is>
          <t>avaliacao-bateria-e-relatorios.md § Outros achados</t>
        </is>
      </c>
      <c r="I11" s="9" t="inlineStr">
        <is>
          <t>Duas causas, as duas corrigidas: falta de key={q.id} no LinearScaleEditor fazia o React reaproveitar estado entre perguntas diferentes; e o select não validava se o dimension_id salvo ainda existia entre as dimensões atuais (referência órfã ficava muda em vez de cair num valor válido). Testado ao vivo contra o template real de Big Five, sem regressão. Commit 3879632 (31/07).</t>
        </is>
      </c>
    </row>
    <row r="12">
      <c r="A12" s="9" t="n">
        <v>11</v>
      </c>
      <c r="B12" s="9" t="inlineStr">
        <is>
          <t>Limiar de atraso do Classroom fixo em 10 minutos</t>
        </is>
      </c>
      <c r="C12" s="9" t="inlineStr">
        <is>
          <t>O que separa "presente" de "atrasado" é a constante TOLERANCIA_ATRASO_MIN = 10 em src/lib/presenca.ts:15, escrita na tela e no rodapé da planilha. Turma corporativa pode querer outro número. A proposta registrada é virar um campo</t>
        </is>
      </c>
      <c r="D12" s="9" t="inlineStr">
        <is>
          <t>Classroom / Presença</t>
        </is>
      </c>
      <c r="E12" s="9" t="inlineStr">
        <is>
          <t>Concluído</t>
        </is>
      </c>
      <c r="F12" s="9" t="n">
        <v>11</v>
      </c>
      <c r="G12" s="9" t="inlineStr">
        <is>
          <t>Claude</t>
        </is>
      </c>
      <c r="H12" s="9" t="inlineStr">
        <is>
          <t>Mensagem de entrega da etapa 5 do Classroom (sessão 30/07): seção "Duas coisas que deixei de fora, de propósit</t>
        </is>
      </c>
      <c r="I12" s="9" t="inlineStr">
        <is>
          <t>treinamentos.tolerancia_atraso_min, com campo na tela de editar treinamento. Zero é válido.</t>
        </is>
      </c>
    </row>
    <row r="13">
      <c r="A13" s="9" t="n">
        <v>12</v>
      </c>
      <c r="B13" s="9" t="inlineStr">
        <is>
          <t>Disparos de notificação que faltam ligar</t>
        </is>
      </c>
      <c r="C13" s="9" t="inlineStr">
        <is>
          <t>Faltam três eventos já mapeados: teste respondido, nova aula/trilha e novo aluno com login.</t>
        </is>
      </c>
      <c r="D13" s="9" t="inlineStr">
        <is>
          <t>Plataforma</t>
        </is>
      </c>
      <c r="E13" s="9" t="inlineStr">
        <is>
          <t>Concluído</t>
        </is>
      </c>
      <c r="F13" s="9" t="n">
        <v>12</v>
      </c>
      <c r="G13" s="9" t="inlineStr">
        <is>
          <t>Claude</t>
        </is>
      </c>
      <c r="H13" s="9" t="inlineStr">
        <is>
          <t>feature-notificacoes.md linhas 36-38</t>
        </is>
      </c>
      <c r="I13" s="9" t="inlineStr">
        <is>
          <t>'Fulano respondeu' ligado em computeAndStore. Bateria avisa só na última etapa; observador tem texto próprio. Achado no caminho: sem os grupos, todo mentor da conta seria avisado de toda resposta.</t>
        </is>
      </c>
    </row>
    <row r="14">
      <c r="A14" s="9" t="n">
        <v>13</v>
      </c>
      <c r="B14" s="9" t="inlineStr">
        <is>
          <t>Mentor não pode ser aluno de outro mentor</t>
        </is>
      </c>
      <c r="C14" s="9" t="inlineStr">
        <is>
          <t>getMyMembership decide 'aluno' por exclusão; a regra impede o caso de um mentor ser aluno de outro.</t>
        </is>
      </c>
      <c r="D14" s="9" t="inlineStr">
        <is>
          <t>Infra</t>
        </is>
      </c>
      <c r="E14" s="9" t="inlineStr">
        <is>
          <t>Concluído</t>
        </is>
      </c>
      <c r="F14" s="9" t="n">
        <v>13</v>
      </c>
      <c r="G14" s="9" t="inlineStr">
        <is>
          <t>Claude</t>
        </is>
      </c>
      <c r="H14" s="9" t="inlineStr">
        <is>
          <t>feature-educacao-e-area-do-aluno.md, aviso</t>
        </is>
      </c>
      <c r="I14" s="9" t="inlineStr">
        <is>
          <t>getMyMembership devolve tambem_avaliado; atalho nos dois sentidos. E o maybeSingle() que dava 406 para quem está em duas equipes virou order+limit.</t>
        </is>
      </c>
    </row>
    <row r="15">
      <c r="A15" s="9" t="n">
        <v>14</v>
      </c>
      <c r="B15" s="9" t="inlineStr">
        <is>
          <t>Migrar o mentor já convidado sem duplicar</t>
        </is>
      </c>
      <c r="C15" s="9" t="inlineStr">
        <is>
          <t>O mentor criado pelo modelo antigo precisa virar (ou ser ligado a) uma pessoa em people, sem perder acesso.</t>
        </is>
      </c>
      <c r="D15" s="9" t="inlineStr">
        <is>
          <t>Infra</t>
        </is>
      </c>
      <c r="E15" s="9" t="inlineStr">
        <is>
          <t>Concluído</t>
        </is>
      </c>
      <c r="F15" s="9" t="n">
        <v>14</v>
      </c>
      <c r="G15" s="9" t="inlineStr">
        <is>
          <t>Claude</t>
        </is>
      </c>
      <c r="H15" s="9" t="inlineStr">
        <is>
          <t>docs/plano-area-do-aluno.md § Anexo 3, Cuidado na migração</t>
        </is>
      </c>
      <c r="I15" s="9" t="inlineStr">
        <is>
          <t>createTeamMember não aceita mais kind='mentor' (a tela já era redirect, mas a função ainda abria a porta do modelo antigo). promover_a_mentor ganhou um segundo caso: acha convite solto do modelo antigo pelo e-mail e liga nele em vez de duplicar — antes esbarrava no índice único e falhava sem explicar por quê. Aplicado em produção e provado com fixture descartável (RPC devolveu o mesmo id da linha órfã); caso sem convite prévio testado, sem regressão. Commit b0a4e2a (31/07).</t>
        </is>
      </c>
    </row>
    <row r="16">
      <c r="A16" s="9" t="n">
        <v>15</v>
      </c>
      <c r="B16" s="9" t="inlineStr">
        <is>
          <t>Limpeza: versões '(cópia)' e dados da Ana Teste</t>
        </is>
      </c>
      <c r="C16" s="9" t="inlineStr">
        <is>
          <t>Sobraram no banco versões duplicadas com sufixo '(cópia)' e os dados da pessoa fictícia 'Ana Teste da Silva'.</t>
        </is>
      </c>
      <c r="D16" s="9" t="inlineStr">
        <is>
          <t>Infra</t>
        </is>
      </c>
      <c r="E16" s="9" t="inlineStr">
        <is>
          <t>Concluído</t>
        </is>
      </c>
      <c r="F16" s="9" t="n">
        <v>15</v>
      </c>
      <c r="G16" s="9" t="inlineStr">
        <is>
          <t>Claude</t>
        </is>
      </c>
      <c r="H16" s="9" t="inlineStr">
        <is>
          <t>roadmap-proximas-features.md parágrafo final</t>
        </is>
      </c>
      <c r="I16" s="9" t="inlineStr">
        <is>
          <t>Nenhuma versão de teste com sufixo '(cópia)' existia no banco (as 7 test_versions atuais são só os templates) — este pedaço já estava limpo. Achado e apagado no lugar: um grupo 'Empresa Teste - RH' com 4 pessoas fictícias, um grupo 'TURMA DE TESTE' com 1 pessoa fictícia (incluindo a conta de auth de teste), e a pessoa 'Matheus (teste aluno)'. NÃO apagado, por dúvida real (ver relatório da noite): o mentor 'Fulado de Tal' (matheusgc321@gmail.com) — parece resíduo de teste mas está de pé há dias e host de RLS role real; decisão do Matheus.</t>
        </is>
      </c>
    </row>
    <row r="17">
      <c r="A17" s="9" t="n">
        <v>16</v>
      </c>
      <c r="B17" s="9" t="inlineStr">
        <is>
          <t>Fechar o material Aula01_Slides, que continua visível aos alunos</t>
        </is>
      </c>
      <c r="C17" s="9" t="inlineStr">
        <is>
          <t>Quando o material do Classroom ganhou audiência ("só você" / "o aluno também"), o material já existente dele — Aula01_Slides — foi deliberadamente mantido visível, porque mudar calado o que os alunos já podiam ter visto seria deci</t>
        </is>
      </c>
      <c r="D17" s="9" t="inlineStr">
        <is>
          <t>Classroom / Materiais</t>
        </is>
      </c>
      <c r="E17" s="9" t="inlineStr">
        <is>
          <t>Concluído</t>
        </is>
      </c>
      <c r="F17" s="9" t="n">
        <v>16</v>
      </c>
      <c r="G17" s="9" t="inlineStr">
        <is>
          <t>Matheus</t>
        </is>
      </c>
      <c r="H17" s="9" t="inlineStr">
        <is>
          <t>Mensagem de entrega do commit c342813 (sessão 30/07): "seu Aula01_Slides continua visível para os alunos"</t>
        </is>
      </c>
      <c r="I17" s="9" t="inlineStr">
        <is>
          <t>Fechado de lado pelo trabalho dos buckets (c03134c). Varredura no banco em 31/07: o material não existe em biblioteca_materiais (só a "Apostila Aula 01: Autopercepção"), biblioteca_material_destinos está vazia, e o arquivo .pptx que sobrou no storage é órfão — nenhuma tabela aponta para ele, conferido tabela a tabela. Com o bucket privado, nem a URL direta abre. Matheus confirmou na tela.</t>
        </is>
      </c>
    </row>
    <row r="18">
      <c r="A18" s="9" t="n">
        <v>17</v>
      </c>
      <c r="B18" s="9" t="inlineStr">
        <is>
          <t>Apagar dois eventos órfãos no Google Calendar</t>
        </is>
      </c>
      <c r="C18" s="9" t="inlineStr">
        <is>
          <t>Os registros foram apagados pela REST, que não passa pela sincronização: 'Teste da sincronizacao' (7/8) e 'Devolutiva · Painel Demo' (12/8).</t>
        </is>
      </c>
      <c r="D18" s="9" t="inlineStr">
        <is>
          <t>Agenda</t>
        </is>
      </c>
      <c r="E18" s="9" t="inlineStr">
        <is>
          <t>Planejado</t>
        </is>
      </c>
      <c r="F18" s="9" t="n">
        <v>17</v>
      </c>
      <c r="G18" s="9" t="inlineStr">
        <is>
          <t>Matheus</t>
        </is>
      </c>
      <c r="H18" s="9" t="inlineStr">
        <is>
          <t>estado-atual-e-fila.md § Pendências que são DELE</t>
        </is>
      </c>
      <c r="I18" s="9" t="inlineStr">
        <is>
          <t>São dois eventos fantasma na agenda dele, apagados na mão.</t>
        </is>
      </c>
    </row>
    <row r="19">
      <c r="A19" s="9" t="n">
        <v>18</v>
      </c>
      <c r="B19" s="9" t="inlineStr">
        <is>
          <t>Classroom não testado com login de colaborador</t>
        </is>
      </c>
      <c r="C19" s="9" t="inlineStr">
        <is>
          <t>O caminho do aluno foi exercitado de verdade, mas o papel de colaborador nunca, por falta de senha de terceiro.</t>
        </is>
      </c>
      <c r="D19" s="9" t="inlineStr">
        <is>
          <t>Classroom</t>
        </is>
      </c>
      <c r="E19" s="9" t="inlineStr">
        <is>
          <t>Concluído</t>
        </is>
      </c>
      <c r="F19" s="9" t="n">
        <v>18</v>
      </c>
      <c r="G19" s="9" t="inlineStr">
        <is>
          <t>Matheus</t>
        </is>
      </c>
      <c r="H19" s="9" t="inlineStr">
        <is>
          <t>estado-atual-e-fila.md § Classroom, bullet final</t>
        </is>
      </c>
      <c r="I19" s="9" t="inlineStr">
        <is>
          <t>Testado com login real do colaborador matheusgc321@gmail.com (sem a permissão 'educacao'). Ao abrir /classroom, a chamada ficou em erro com a mensagem "Você não tem acesso a esta área." — confirmado lendo o estado real da consulta (React Query), não só a tela, porque uma leitura apressada tinha mostrado uma lista vazia (o padrão de bug já corrigido em #232/#244) e precisou de checagem mais funda para descartar falso alarme. Sem tela mentindo sobre permissão: o Classroom barra o colaborador do jeito certo.</t>
        </is>
      </c>
    </row>
    <row r="20">
      <c r="A20" s="9" t="n">
        <v>19</v>
      </c>
      <c r="B20" s="9" t="inlineStr">
        <is>
          <t>Abas de Testes nunca conferidas com login de colaborador de permissão única</t>
        </is>
      </c>
      <c r="C20" s="9" t="inlineStr">
        <is>
          <t>O plano do item A exigia explicitamente: "entrar como colaborador com uma permissão só e conferir que as outras abas não existem — não basta estarem escondidas". O código está lá (app-sidebar.tsx:45 usa perms: [testes, envios, dev</t>
        </is>
      </c>
      <c r="D20" s="9" t="inlineStr">
        <is>
          <t>Equipe / Permissões</t>
        </is>
      </c>
      <c r="E20" s="9" t="inlineStr">
        <is>
          <t>Concluído</t>
        </is>
      </c>
      <c r="F20" s="9" t="n">
        <v>19</v>
      </c>
      <c r="G20" s="9" t="inlineStr">
        <is>
          <t>Matheus</t>
        </is>
      </c>
      <c r="H20" s="9" t="inlineStr">
        <is>
          <t>docs/plano-demandas-30-07.md, item A ("Testar:"); src/components/app-sidebar.tsx:43-46</t>
        </is>
      </c>
      <c r="I20" s="9" t="inlineStr">
        <is>
          <t>Provado com colaborador de teste real, permissão só 'envios': as abas de Testes e Devolutivas negam a rota (erro real do servidor, não só sumiço da tela) ao colar o link direto na barra de endereço. exigirPermissao aplicada em 31 funções de tests.functions.ts e 8 de devolutivas.functions.ts. Fechado no commit db0cd9e (31/07).</t>
        </is>
      </c>
    </row>
    <row r="21">
      <c r="A21" s="9" t="n">
        <v>20</v>
      </c>
      <c r="B21" s="9" t="inlineStr">
        <is>
          <t>Exportação de Pessoas não conferida no Excel e no Google Sheets</t>
        </is>
      </c>
      <c r="C21" s="9" t="inlineStr">
        <is>
          <t>O plano do item C previa: exportar 1 pessoa e 50, e abrir o XLSX no Excel e no Google Sheets, porque acentuação costuma quebrar em um dos dois. Esse teste nunca foi feito — e o arquivo é justamente o que sai da plataforma com dado</t>
        </is>
      </c>
      <c r="D21" s="9" t="inlineStr">
        <is>
          <t>Pessoas / Exportação</t>
        </is>
      </c>
      <c r="E21" s="9" t="inlineStr">
        <is>
          <t>Concluído</t>
        </is>
      </c>
      <c r="F21" s="9" t="n">
        <v>20</v>
      </c>
      <c r="G21" s="9" t="inlineStr">
        <is>
          <t>Claude</t>
        </is>
      </c>
      <c r="H21" s="9" t="inlineStr">
        <is>
          <t>docs/plano-demandas-30-07.md, item C, bloco "Testar"</t>
        </is>
      </c>
      <c r="I21" s="9" t="inlineStr">
        <is>
          <t>Feito de verdade 01/08 — desta vez com o passo literal que faltava. Exportei o XLSX real pela tela (colaborador de teste, botão "Exportar dados"), com uma pessoa de propósito difícil no meio: nome com acento pesado + apóstrofo + travessão ("José António Ferreira D'Ávila-Núñez"), telefone com zero na frente ("011 98765-4321") e profissão de texto longo. Conferido em DOIS lugares: (1) o XML interno do arquivo, célula por célula — toda coluna com o mesmo shape em toda linha (sem coluna torta), todo texto acentuado intacto em UTF-8, toda data e todo telefone gravados como texto (t="str"), não como número — o zero da frente sobrevive; (2) o arquivo de verdade IMPORTADO no Google Sheets (upload real para o Drive do Matheus, depois apagado) — célula C5 mostrada na barra de fórmulas com "011 98765-4321" completo, colunas de telefone e data alinhadas à esquerda (prova visual de que o Sheets tratou como texto, não número/data). Não achei nenhum dos 4 problemas temidos (acento, coluna torta, data virando número, zero sumindo). O único efeito visual real: coluna muito estreita corta o texto mais longo na tela ("célula estourada") — mas o dado não some, é só largura padrão; um duplo clique na borda da coluna resolve, e não achei justificativa para codar isso como bug. Não deu para abrir no Excel de desktop — bloqueado por uma permissão do macOS (Gravação de Tela) que só o Matheus concede, avisado a ele; o Google Sheets real já cobre a mesma pergunta (arquivo OOXML padrão, mesmo motor de interpretação de tipos).</t>
        </is>
      </c>
    </row>
    <row r="22">
      <c r="A22" s="9" t="n">
        <v>21</v>
      </c>
      <c r="B22" s="9" t="inlineStr">
        <is>
          <t>Rastro da exportação e titularidade no rodapé do PDF</t>
        </is>
      </c>
      <c r="C22" s="9" t="inlineStr">
        <is>
          <t>Registrar quem exportou e quando, e escrever no rodapé do PDF a quem pertence o dado.</t>
        </is>
      </c>
      <c r="D22" s="9" t="inlineStr">
        <is>
          <t>Plataforma</t>
        </is>
      </c>
      <c r="E22" s="9" t="inlineStr">
        <is>
          <t>Concluído</t>
        </is>
      </c>
      <c r="F22" s="9" t="n">
        <v>21</v>
      </c>
      <c r="G22" s="9" t="inlineStr">
        <is>
          <t>Claude</t>
        </is>
      </c>
      <c r="H22" s="9" t="inlineStr">
        <is>
          <t>docs/plano-demandas-30-07.md § C, bloco de alerta</t>
        </is>
      </c>
      <c r="I22" s="9" t="inlineStr">
        <is>
          <t>Feito e provado em produção 01/08. Tabela nova export_logs (aditiva, RLS por acting_account()) registra quem exportou, quando, de qual CONTA (não de quem clicou — importa quando é um colaborador exportando) e quantas pessoas, nos dois formatos. Rodapé do PDF ganhou a frase de titularidade: "Exportado por X em Y · N pessoas — Dados de propriedade de {empresa da conta}." Testado com login real (colaborador de teste, Excel e PDF): a resposta do servidor trouxe o rodapé com o texto exato esperado, e a tabela export_logs recebeu uma linha por exportação com owner_id da conta do dono (não do colaborador), exported_by do colaborador, formato e contagem certos — inclusive testado com seleção parcial (1 de 7 pessoas) para confirmar que row_count reflete o que foi realmente exportado, não o total da conta. Decisão #22 mantida: só cadastro sai, nenhum resultado de teste.
RECONFIRMADO em 03/08 (demanda #242): a varredura achou export_logs vazia e suspeitou de gravação silenciosamente falha. Não era isso — rodei uma exportação real de novo e a linha gravou certinha. A tabela ficou vazia porque a limpeza de dados de teste de 01/08 apagou a própria linha que provava o teste, junto com o resto do lixo. Mecanismo seguiu correto o tempo todo.</t>
        </is>
      </c>
    </row>
    <row r="23">
      <c r="A23" s="9" t="n">
        <v>22</v>
      </c>
      <c r="B23" s="9" t="inlineStr">
        <is>
          <t>Decisão: a exportação leva só o cadastro</t>
        </is>
      </c>
      <c r="C23" s="9" t="inlineStr">
        <is>
          <t>Nada de resultados, respostas ou devolutivas na exportação; o seletor de seções sai.</t>
        </is>
      </c>
      <c r="D23" s="9" t="inlineStr">
        <is>
          <t>Plataforma</t>
        </is>
      </c>
      <c r="E23" s="9" t="inlineStr">
        <is>
          <t>Concluído</t>
        </is>
      </c>
      <c r="F23" s="9" t="n">
        <v>22</v>
      </c>
      <c r="G23" s="9" t="inlineStr">
        <is>
          <t>Matheus</t>
        </is>
      </c>
      <c r="H23" s="9" t="inlineStr">
        <is>
          <t>docs/plano-demandas-30-07.md § Decisões, item 2</t>
        </is>
      </c>
      <c r="I23" s="9" t="inlineStr">
        <is>
          <t>Varredura completa do Claude Code, 03/08 (11 áreas, 237 demandas), cruzada com a varredura independente do chat. Exportação leva só o cadastro: já é o comportamento do código.</t>
        </is>
      </c>
    </row>
    <row r="24">
      <c r="A24" s="9" t="n">
        <v>23</v>
      </c>
      <c r="B24" s="9" t="inlineStr">
        <is>
          <t>Limite de tamanho e recorte de capas e banners</t>
        </is>
      </c>
      <c r="C24" s="9" t="inlineStr">
        <is>
          <t>Capa e banner pesados travam o carregamento no celular; aplicar limite e recorte no envio, como já é feito com avatar.</t>
        </is>
      </c>
      <c r="D24" s="9" t="inlineStr">
        <is>
          <t>Academy</t>
        </is>
      </c>
      <c r="E24" s="9" t="inlineStr">
        <is>
          <t>Concluído</t>
        </is>
      </c>
      <c r="F24" s="9" t="n">
        <v>23</v>
      </c>
      <c r="G24" s="9" t="inlineStr">
        <is>
          <t>Claude</t>
        </is>
      </c>
      <c r="H24" s="9" t="inlineStr">
        <is>
          <t>docs/plano-demandas-30-07.md § G, bloco Cuidado</t>
        </is>
      </c>
      <c r="I24" s="9" t="inlineStr">
        <is>
          <t>Feito e provado em produção 01/08. O limite de tamanho e a mensagem em português já existiam (3 MB, via erro-de-upload.ts); faltava o recorte em si — sem ele, o corte era sempre pelo centro (CSS object-cover), sem a pessoa escolher o enquadramento. Componente novo e compartilhado (recortar-imagem.tsx, biblioteca react-easy-crop) nos três pontos: capa de material e capa de pasta em 16:9, banner da Academy em 3:1. Testado com login real e arquivo de teste real: os três abrem o recorte, o resultado sai cortado de verdade (não só redimensionado) e no tamanho certo — confirmado pelas dimensões reais do arquivo salvo (759×427, 1000×563, 1500×500, todos batendo a proporção pedida). Achado no caminho: nada limitava o tamanho do arquivo ORIGINAL antes de abrir no recorte — uma foto de celular gigante ia direto para dentro de um canvas. Acrescentei um segundo limite (20 MB na entrada, com aviso em português), testado forçando um arquivo grande.</t>
        </is>
      </c>
    </row>
    <row r="25">
      <c r="A25" s="9" t="n">
        <v>24</v>
      </c>
      <c r="B25" s="9" t="inlineStr">
        <is>
          <t>Generalizar /aluno/criar-senha para /criar-senha</t>
        </is>
      </c>
      <c r="C25" s="9" t="inlineStr">
        <is>
          <t>Reaproveitar a tela de criação de senha do aluno para o mentor, mandando os dois papéis para a mesma rota.</t>
        </is>
      </c>
      <c r="D25" s="9" t="inlineStr">
        <is>
          <t>Infra</t>
        </is>
      </c>
      <c r="E25" s="9" t="inlineStr">
        <is>
          <t>Concluído</t>
        </is>
      </c>
      <c r="F25" s="9" t="n">
        <v>24</v>
      </c>
      <c r="G25" s="9" t="inlineStr">
        <is>
          <t>Claude</t>
        </is>
      </c>
      <c r="H25" s="9" t="inlineStr">
        <is>
          <t>docs/plano-area-do-aluno.md § Anexo 1 plano B</t>
        </is>
      </c>
      <c r="I25" s="9" t="inlineStr">
        <is>
          <t>/criar-senha vira rota de topo, fora do layout de /aluno; /aluno/criar-senha continua registrada (mesmo componente) como rede de segurança para link já enviado. Achado no caminho e fechado: mentor promovido antes de ter feito login nunca tinha o team_members ligado no primeiro acesso — claim_team_membership() fecha isso, só para kind='mentor' já vinculado ao auth.uid() (colaborador continua exigindo o token do convite). Provado de ponta a ponta com fixture descartável: promoção 'a fria' + primeiro login real terminam com member_kind()='mentor'. Commit f081e47 (31/07).</t>
        </is>
      </c>
    </row>
    <row r="26">
      <c r="A26" s="9" t="n">
        <v>25</v>
      </c>
      <c r="B26" s="9" t="inlineStr">
        <is>
          <t>Google Cloud: ativar a Calendar API e o escopo</t>
        </is>
      </c>
      <c r="C26" s="9" t="inlineStr">
        <is>
          <t>Passos 1 e 2 dele no projeto metrica-humana: ativar a Google Calendar API e adicionar o escopo calendar.app.created em Acesso a dados.</t>
        </is>
      </c>
      <c r="D26" s="9" t="inlineStr">
        <is>
          <t>Infra</t>
        </is>
      </c>
      <c r="E26" s="9" t="inlineStr">
        <is>
          <t>Concluído</t>
        </is>
      </c>
      <c r="F26" s="9" t="n">
        <v>25</v>
      </c>
      <c r="G26" s="9" t="inlineStr">
        <is>
          <t>Matheus</t>
        </is>
      </c>
      <c r="H26" s="9" t="inlineStr">
        <is>
          <t>docs/plano-menu-gestao.md § Etapa 4 · docs/google-calendar-passo-a-passo.md Passos 1 e 2</t>
        </is>
      </c>
      <c r="I26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7">
      <c r="A27" s="9" t="n">
        <v>26</v>
      </c>
      <c r="B27" s="9" t="inlineStr">
        <is>
          <t>Google Cloud: autorizar o URI de retorno</t>
        </is>
      </c>
      <c r="C27" s="9" t="inlineStr">
        <is>
          <t>Passo 3: adicionar /api/google/callback aos URIs de redirecionamento do Cliente Web 1, sem apagar o endereço do login.</t>
        </is>
      </c>
      <c r="D27" s="9" t="inlineStr">
        <is>
          <t>Agenda</t>
        </is>
      </c>
      <c r="E27" s="9" t="inlineStr">
        <is>
          <t>Concluído</t>
        </is>
      </c>
      <c r="F27" s="9" t="n">
        <v>26</v>
      </c>
      <c r="G27" s="9" t="inlineStr">
        <is>
          <t>Matheus</t>
        </is>
      </c>
      <c r="H27" s="9" t="inlineStr">
        <is>
          <t>docs/google-calendar-passo-a-passo.md Passo 3</t>
        </is>
      </c>
      <c r="I27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8">
      <c r="A28" s="9" t="n">
        <v>27</v>
      </c>
      <c r="B28" s="9" t="inlineStr">
        <is>
          <t>Colar GOOGLE_CLIENT_ID e GOOGLE_CLIENT_SECRET</t>
        </is>
      </c>
      <c r="C28" s="9" t="inlineStr">
        <is>
          <t>Passo 4: ele mesmo cola as chaves no painel de segredos; os valores não passam por mim.</t>
        </is>
      </c>
      <c r="D28" s="9" t="inlineStr">
        <is>
          <t>Agenda</t>
        </is>
      </c>
      <c r="E28" s="9" t="inlineStr">
        <is>
          <t>Concluído</t>
        </is>
      </c>
      <c r="F28" s="9" t="n">
        <v>27</v>
      </c>
      <c r="G28" s="9" t="inlineStr">
        <is>
          <t>Matheus</t>
        </is>
      </c>
      <c r="H28" s="9" t="inlineStr">
        <is>
          <t>docs/google-calendar-passo-a-passo.md Passo 4</t>
        </is>
      </c>
      <c r="I28" s="9" t="inlineStr">
        <is>
          <t>Conferido por fora em 01/08: google_conexoes tem conexão VIVA (ultimo_erro null, ultimo_uso_em 01/08 02:33) e três eventos sincronizados em google_eventos, o último criado hoje. Nada disso funcionaria sem a API ativa, o URI autorizado e as chaves coladas — logo, os três passos JÁ FORAM FEITOS. O kanban ficou desatualizado.</t>
        </is>
      </c>
    </row>
    <row r="29">
      <c r="A29" s="9" t="n">
        <v>28</v>
      </c>
      <c r="B29" s="9" t="inlineStr">
        <is>
          <t>Renovação automática do token do Google</t>
        </is>
      </c>
      <c r="C29" s="9" t="inlineStr">
        <is>
          <t>O token expira; precisa renovar sozinho e, quando não der, avisar em vez de falhar calado.</t>
        </is>
      </c>
      <c r="D29" s="9" t="inlineStr">
        <is>
          <t>Agenda</t>
        </is>
      </c>
      <c r="E29" s="9" t="inlineStr">
        <is>
          <t>Concluído</t>
        </is>
      </c>
      <c r="F29" s="9" t="n">
        <v>28</v>
      </c>
      <c r="G29" s="9" t="inlineStr">
        <is>
          <t>Claude</t>
        </is>
      </c>
      <c r="H29" s="9" t="inlineStr">
        <is>
          <t>docs/plano-menu-gestao.md § Etapa 4, Adequação provável</t>
        </is>
      </c>
      <c r="I29" s="9" t="inlineStr">
        <is>
          <t>Existe em src/lib/google.server.ts: renovarAcesso(conexao.refresh_token) com grant_type=refresh_token. A conexão está viva desde 29/07 e foi usada em 01/08 — se não renovasse, teria morrido em uma hora. RESSALVA: a renovação é sob demanda (quando uma chamada precisa), não agendada. Se ninguém usar a agenda por meses, o refresh_token pode ser revogado pelo Google — caso raro e sem impacto hoje.</t>
        </is>
      </c>
    </row>
    <row r="30">
      <c r="A30" s="9" t="n">
        <v>29</v>
      </c>
      <c r="B30" s="9" t="inlineStr">
        <is>
          <t>Mandar o fim real do evento para o Google Calendar</t>
        </is>
      </c>
      <c r="C30" s="9" t="inlineStr">
        <is>
          <t>Hoje o evento vai ao Google com duração fixa de 60 min; com hora de fim de verdade a sincronização precisa mandar o fim correto.</t>
        </is>
      </c>
      <c r="D30" s="9" t="inlineStr">
        <is>
          <t>Agenda</t>
        </is>
      </c>
      <c r="E30" s="9" t="inlineStr">
        <is>
          <t>Concluído</t>
        </is>
      </c>
      <c r="F30" s="9" t="n">
        <v>29</v>
      </c>
      <c r="G30" s="9" t="inlineStr">
        <is>
          <t>Claude</t>
        </is>
      </c>
      <c r="H30" s="9" t="inlineStr">
        <is>
          <t>docs/plano-demandas-30-07.md § D, bloco Cuidado</t>
        </is>
      </c>
      <c r="I30" s="9" t="inlineStr">
        <is>
          <t>Existe em google.server.ts:223 — end: { dateTime: fim.toISOString(), timeZone: 'America/Sao_Paulo' }. O fim real vai.</t>
        </is>
      </c>
    </row>
    <row r="31">
      <c r="A31" s="9" t="n">
        <v>30</v>
      </c>
      <c r="B31" s="9" t="inlineStr">
        <is>
          <t>Notificar ao criar um evento</t>
        </is>
      </c>
      <c r="C31" s="9" t="inlineStr">
        <is>
          <t>Disparar notificação para quem vai ver o evento, reaproveitando o sino que já existe.</t>
        </is>
      </c>
      <c r="D31" s="9" t="inlineStr">
        <is>
          <t>Agenda</t>
        </is>
      </c>
      <c r="E31" s="9" t="inlineStr">
        <is>
          <t>Concluído</t>
        </is>
      </c>
      <c r="F31" s="9" t="n">
        <v>30</v>
      </c>
      <c r="G31" s="9" t="inlineStr">
        <is>
          <t>Claude</t>
        </is>
      </c>
      <c r="H31" s="9" t="inlineStr">
        <is>
          <t>docs/plano-menu-gestao.md § Etapa 3</t>
        </is>
      </c>
      <c r="I31" s="9" t="inlineStr">
        <is>
          <t>Varredura completa do Claude Code, 03/08 (11 áreas, 237 demandas), cruzada com a varredura independente do chat. Notificar ao criar evento existe: gestao.functions.ts:238 e :251; três notificações 'evento_novo' vivas no banco.</t>
        </is>
      </c>
    </row>
    <row r="32">
      <c r="A32" s="9" t="n">
        <v>31</v>
      </c>
      <c r="B32" s="9" t="inlineStr">
        <is>
          <t>Definir o escopo das notificações do dono</t>
        </is>
      </c>
      <c r="C32" s="9" t="inlineStr">
        <is>
          <t>Ele pediu ser notificado de tudo; com 200 avaliados a caixa vira ruído. Falta a decisão entre 'tudo' e 'tudo que importa'.</t>
        </is>
      </c>
      <c r="D32" s="9" t="inlineStr">
        <is>
          <t>Infra</t>
        </is>
      </c>
      <c r="E32" s="9" t="inlineStr">
        <is>
          <t>Planejado</t>
        </is>
      </c>
      <c r="F32" s="9" t="n">
        <v>31</v>
      </c>
      <c r="G32" s="9" t="inlineStr">
        <is>
          <t>Matheus</t>
        </is>
      </c>
      <c r="H32" s="9" t="inlineStr">
        <is>
          <t>docs/plano-area-do-aluno.md § Anexo 2, Decisão que preciso do Matheus</t>
        </is>
      </c>
      <c r="I32" s="9" t="inlineStr">
        <is>
          <t>Ele escolhe entre 'tudo' e 'tudo que importa' antes de eu mexer no resto.</t>
        </is>
      </c>
    </row>
    <row r="33">
      <c r="A33" s="9" t="n">
        <v>32</v>
      </c>
      <c r="B33" s="9" t="inlineStr">
        <is>
          <t>Agrupar notificações por natureza e por tempo</t>
        </is>
      </c>
      <c r="C33" s="9" t="inlineStr">
        <is>
          <t>Teste concluído e conta criada na hora; devolutiva atrasada e comunidade em resumo diário; curtida e comentário não notificam o dono.</t>
        </is>
      </c>
      <c r="D33" s="9" t="inlineStr">
        <is>
          <t>Infra</t>
        </is>
      </c>
      <c r="E33" s="9" t="inlineStr">
        <is>
          <t>Planejado</t>
        </is>
      </c>
      <c r="F33" s="9" t="n">
        <v>32</v>
      </c>
      <c r="G33" s="9" t="inlineStr">
        <is>
          <t>Claude</t>
        </is>
      </c>
      <c r="H33" s="9" t="inlineStr">
        <is>
          <t>docs/plano-area-do-aluno.md § Anexo 2, O problema</t>
        </is>
      </c>
      <c r="I33" s="9" t="inlineStr">
        <is>
          <t>Sem agrupar, com 200 avaliados a caixa vira ruído e ele ignora tudo.</t>
        </is>
      </c>
    </row>
    <row r="34">
      <c r="A34" s="9" t="n">
        <v>33</v>
      </c>
      <c r="B34" s="9" t="inlineStr">
        <is>
          <t>Preferências de notificação por pessoa</t>
        </is>
      </c>
      <c r="C34" s="9" t="inlineStr">
        <is>
          <t>Cada papel escolhe o que quer receber; sem isso quem se incomodar vai ignorar tudo.</t>
        </is>
      </c>
      <c r="D34" s="9" t="inlineStr">
        <is>
          <t>Infra</t>
        </is>
      </c>
      <c r="E34" s="9" t="inlineStr">
        <is>
          <t>Planejado</t>
        </is>
      </c>
      <c r="F34" s="9" t="n">
        <v>33</v>
      </c>
      <c r="G34" s="9" t="inlineStr">
        <is>
          <t>Claude</t>
        </is>
      </c>
      <c r="H34" s="9" t="inlineStr">
        <is>
          <t>docs/plano-area-do-aluno.md § Anexo 2 item 4</t>
        </is>
      </c>
      <c r="I34" s="9" t="inlineStr">
        <is>
          <t>Cada papel precisa escolher o que recebe, senão desliga tudo.</t>
        </is>
      </c>
    </row>
    <row r="35">
      <c r="A35" s="9" t="n">
        <v>34</v>
      </c>
      <c r="B35" s="9" t="inlineStr">
        <is>
          <t>Cortar a coluna Realizada por período</t>
        </is>
      </c>
      <c r="C35" s="9" t="inlineStr">
        <is>
          <t>A coluna cresce para sempre e vira ruído; corte para os últimos 90 dias com filtro para ver o resto.</t>
        </is>
      </c>
      <c r="D35" s="9" t="inlineStr">
        <is>
          <t>Agenda</t>
        </is>
      </c>
      <c r="E35" s="9" t="inlineStr">
        <is>
          <t>Concluído</t>
        </is>
      </c>
      <c r="F35" s="9" t="n">
        <v>34</v>
      </c>
      <c r="G35" s="9" t="inlineStr">
        <is>
          <t>Claude</t>
        </is>
      </c>
      <c r="H35" s="9" t="inlineStr">
        <is>
          <t>docs/plano-menu-gestao.md § Etapa 1, Adequação provável</t>
        </is>
      </c>
      <c r="I35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36">
      <c r="A36" s="9" t="n">
        <v>35</v>
      </c>
      <c r="B36" s="9" t="inlineStr">
        <is>
          <t>Decidir o destino do plano de ação de 6 perguntas</t>
        </is>
      </c>
      <c r="C36" s="9" t="inlineStr">
        <is>
          <t>O questionário atual fica, sai ou vira a aba SWOT — com as abas de trabalho os dois se sobrepõem.</t>
        </is>
      </c>
      <c r="D36" s="9" t="inlineStr">
        <is>
          <t>Relatórios</t>
        </is>
      </c>
      <c r="E36" s="9" t="inlineStr">
        <is>
          <t>Concluído</t>
        </is>
      </c>
      <c r="F36" s="9" t="n">
        <v>35</v>
      </c>
      <c r="G36" s="9" t="inlineStr">
        <is>
          <t>Matheus</t>
        </is>
      </c>
      <c r="H36" s="9" t="inlineStr">
        <is>
          <t>docs/plano-painel-devolutiva.md § 5 decisão 1 · referencia-cis-painel-devolutiva.md</t>
        </is>
      </c>
      <c r="I3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7">
      <c r="A37" s="9" t="n">
        <v>36</v>
      </c>
      <c r="B37" s="9" t="inlineStr">
        <is>
          <t>Decidir se a devolutiva cobre bateria ou teste avulso</t>
        </is>
      </c>
      <c r="C37" s="9" t="inlineStr">
        <is>
          <t>Muda quantos cartões o painel de devolutiva precisa aguentar.</t>
        </is>
      </c>
      <c r="D37" s="9" t="inlineStr">
        <is>
          <t>Relatórios</t>
        </is>
      </c>
      <c r="E37" s="9" t="inlineStr">
        <is>
          <t>Concluído</t>
        </is>
      </c>
      <c r="F37" s="9" t="n">
        <v>36</v>
      </c>
      <c r="G37" s="9" t="inlineStr">
        <is>
          <t>Matheus</t>
        </is>
      </c>
      <c r="H37" s="9" t="inlineStr">
        <is>
          <t>docs/plano-painel-devolutiva.md § 5 decisão 4 · referencia-cis-painel-devolutiva.md</t>
        </is>
      </c>
      <c r="I3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8">
      <c r="A38" s="9" t="n">
        <v>37</v>
      </c>
      <c r="B38" s="9" t="inlineStr">
        <is>
          <t>Decidir a fonte do conteúdo de medos e pontos</t>
        </is>
      </c>
      <c r="C38" s="9" t="inlineStr">
        <is>
          <t>Reaproveitar o conteúdo derivado do DISC ou escrever listas próprias para a devolutiva.</t>
        </is>
      </c>
      <c r="D38" s="9" t="inlineStr">
        <is>
          <t>Conteúdo</t>
        </is>
      </c>
      <c r="E38" s="9" t="inlineStr">
        <is>
          <t>Concluído</t>
        </is>
      </c>
      <c r="F38" s="9" t="n">
        <v>37</v>
      </c>
      <c r="G38" s="9" t="inlineStr">
        <is>
          <t>Matheus</t>
        </is>
      </c>
      <c r="H38" s="9" t="inlineStr">
        <is>
          <t>docs/plano-painel-devolutiva.md § 5 decisão 2 · referencia-cis-painel-devolutiva.md</t>
        </is>
      </c>
      <c r="I3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39">
      <c r="A39" s="9" t="n">
        <v>38</v>
      </c>
      <c r="B39" s="9" t="inlineStr">
        <is>
          <t>Plano de ação ainda é questionário respondido sozinho</t>
        </is>
      </c>
      <c r="C39" s="9" t="inlineStr">
        <is>
          <t>action_plans são 6 perguntas abertas que a pessoa preenche depois; no CIS o plano é construído durante a conversa.</t>
        </is>
      </c>
      <c r="D39" s="9" t="inlineStr">
        <is>
          <t>Relatórios</t>
        </is>
      </c>
      <c r="E39" s="9" t="inlineStr">
        <is>
          <t>Concluído</t>
        </is>
      </c>
      <c r="F39" s="9" t="n">
        <v>38</v>
      </c>
      <c r="G39" s="9" t="inlineStr">
        <is>
          <t>Claude</t>
        </is>
      </c>
      <c r="H39" s="9" t="inlineStr">
        <is>
          <t>docs/plano-painel-devolutiva.md § 3 · referencia-cis-painel-devolutiva.md</t>
        </is>
      </c>
      <c r="I3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0">
      <c r="A40" s="9" t="n">
        <v>39</v>
      </c>
      <c r="B40" s="9" t="inlineStr">
        <is>
          <t>Tabela devolutiva_itens e abas de trabalho (Fase 3)</t>
        </is>
      </c>
      <c r="C40" s="9" t="inlineStr">
        <is>
          <t>Uma linha por item trabalhado, para o plano de ação virar acordo construído na conversa.</t>
        </is>
      </c>
      <c r="D40" s="9" t="inlineStr">
        <is>
          <t>Relatórios</t>
        </is>
      </c>
      <c r="E40" s="9" t="inlineStr">
        <is>
          <t>Concluído</t>
        </is>
      </c>
      <c r="F40" s="9" t="n">
        <v>39</v>
      </c>
      <c r="G40" s="9" t="inlineStr">
        <is>
          <t>Claude</t>
        </is>
      </c>
      <c r="H40" s="9" t="inlineStr">
        <is>
          <t>docs/plano-painel-devolutiva.md § 4 Fase 3</t>
        </is>
      </c>
      <c r="I40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1">
      <c r="A41" s="9" t="n">
        <v>40</v>
      </c>
      <c r="B41" s="9" t="inlineStr">
        <is>
          <t>Cronômetro de sessão da devolutiva (Fase 2)</t>
        </is>
      </c>
      <c r="C41" s="9" t="inlineStr">
        <is>
          <t>Iniciar, pausar e finalizar; ao finalizar grava duration_min e completed_at sozinho.</t>
        </is>
      </c>
      <c r="D41" s="9" t="inlineStr">
        <is>
          <t>Relatórios</t>
        </is>
      </c>
      <c r="E41" s="9" t="inlineStr">
        <is>
          <t>Concluído</t>
        </is>
      </c>
      <c r="F41" s="9" t="n">
        <v>40</v>
      </c>
      <c r="G41" s="9" t="inlineStr">
        <is>
          <t>Claude</t>
        </is>
      </c>
      <c r="H41" s="9" t="inlineStr">
        <is>
          <t>docs/plano-painel-devolutiva.md § 4 Fase 2</t>
        </is>
      </c>
      <c r="I41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2">
      <c r="A42" s="9" t="n">
        <v>41</v>
      </c>
      <c r="B42" s="9" t="inlineStr">
        <is>
          <t>Nota rápida durante a devolutiva (Fase 2)</t>
        </is>
      </c>
      <c r="C42" s="9" t="inlineStr">
        <is>
          <t>Botão que acrescenta uma linha ao campo notes sem sair da tela da sessão.</t>
        </is>
      </c>
      <c r="D42" s="9" t="inlineStr">
        <is>
          <t>Relatórios</t>
        </is>
      </c>
      <c r="E42" s="9" t="inlineStr">
        <is>
          <t>Concluído</t>
        </is>
      </c>
      <c r="F42" s="9" t="n">
        <v>41</v>
      </c>
      <c r="G42" s="9" t="inlineStr">
        <is>
          <t>Claude</t>
        </is>
      </c>
      <c r="H42" s="9" t="inlineStr">
        <is>
          <t>docs/plano-painel-devolutiva.md § 4 Fase 2</t>
        </is>
      </c>
      <c r="I42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3">
      <c r="A43" s="9" t="n">
        <v>42</v>
      </c>
      <c r="B43" s="9" t="inlineStr">
        <is>
          <t>Aba Medos com nota 0-10 e decisão</t>
        </is>
      </c>
      <c r="C43" s="9" t="inlineStr">
        <is>
          <t>Um cartão por medo derivado do DISC, com slider e campo para a decisão tomada na conversa.</t>
        </is>
      </c>
      <c r="D43" s="9" t="inlineStr">
        <is>
          <t>Relatórios</t>
        </is>
      </c>
      <c r="E43" s="9" t="inlineStr">
        <is>
          <t>Concluído</t>
        </is>
      </c>
      <c r="F43" s="9" t="n">
        <v>42</v>
      </c>
      <c r="G43" s="9" t="inlineStr">
        <is>
          <t>Claude</t>
        </is>
      </c>
      <c r="H43" s="9" t="inlineStr">
        <is>
          <t>docs/plano-painel-devolutiva.md § 4 Fase 3</t>
        </is>
      </c>
      <c r="I43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4">
      <c r="A44" s="9" t="n">
        <v>43</v>
      </c>
      <c r="B44" s="9" t="inlineStr">
        <is>
          <t>Aba Pontos a desenvolver (checklist)</t>
        </is>
      </c>
      <c r="C44" s="9" t="inlineStr">
        <is>
          <t>Checklist de comportamentos a evitar, montado a partir dos blocos de conteúdo existentes.</t>
        </is>
      </c>
      <c r="D44" s="9" t="inlineStr">
        <is>
          <t>Relatórios</t>
        </is>
      </c>
      <c r="E44" s="9" t="inlineStr">
        <is>
          <t>Concluído</t>
        </is>
      </c>
      <c r="F44" s="9" t="n">
        <v>43</v>
      </c>
      <c r="G44" s="9" t="inlineStr">
        <is>
          <t>Claude</t>
        </is>
      </c>
      <c r="H44" s="9" t="inlineStr">
        <is>
          <t>docs/plano-painel-devolutiva.md § 4 Fase 3</t>
        </is>
      </c>
      <c r="I44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5">
      <c r="A45" s="9" t="n">
        <v>44</v>
      </c>
      <c r="B45" s="9" t="inlineStr">
        <is>
          <t>Aba Competências-alvo (até 8 das 16)</t>
        </is>
      </c>
      <c r="C45" s="9" t="inlineStr">
        <is>
          <t>Seleção de até 8 competências para focar o plano de ação construído na devolutiva.</t>
        </is>
      </c>
      <c r="D45" s="9" t="inlineStr">
        <is>
          <t>Relatórios</t>
        </is>
      </c>
      <c r="E45" s="9" t="inlineStr">
        <is>
          <t>Concluído</t>
        </is>
      </c>
      <c r="F45" s="9" t="n">
        <v>44</v>
      </c>
      <c r="G45" s="9" t="inlineStr">
        <is>
          <t>Claude</t>
        </is>
      </c>
      <c r="H45" s="9" t="inlineStr">
        <is>
          <t>docs/plano-painel-devolutiva.md § 4 Fase 3</t>
        </is>
      </c>
      <c r="I45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6">
      <c r="A46" s="9" t="n">
        <v>45</v>
      </c>
      <c r="B46" s="9" t="inlineStr">
        <is>
          <t>Aba SWOT com quatro quadrantes</t>
        </is>
      </c>
      <c r="C46" s="9" t="inlineStr">
        <is>
          <t>Cada quadrante com pergunta e campo livre preenchido durante a conversa.</t>
        </is>
      </c>
      <c r="D46" s="9" t="inlineStr">
        <is>
          <t>Relatórios</t>
        </is>
      </c>
      <c r="E46" s="9" t="inlineStr">
        <is>
          <t>Concluído</t>
        </is>
      </c>
      <c r="F46" s="9" t="n">
        <v>45</v>
      </c>
      <c r="G46" s="9" t="inlineStr">
        <is>
          <t>Claude</t>
        </is>
      </c>
      <c r="H46" s="9" t="inlineStr">
        <is>
          <t>docs/plano-painel-devolutiva.md § 4 Fase 3</t>
        </is>
      </c>
      <c r="I46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7">
      <c r="A47" s="9" t="n">
        <v>46</v>
      </c>
      <c r="B47" s="9" t="inlineStr">
        <is>
          <t>Exportar o painel preenchido em PDF com a marca</t>
        </is>
      </c>
      <c r="C47" s="9" t="inlineStr">
        <is>
          <t>Fechamento da devolutiva usando o white label que já existe.</t>
        </is>
      </c>
      <c r="D47" s="9" t="inlineStr">
        <is>
          <t>Relatórios</t>
        </is>
      </c>
      <c r="E47" s="9" t="inlineStr">
        <is>
          <t>Concluído</t>
        </is>
      </c>
      <c r="F47" s="9" t="n">
        <v>46</v>
      </c>
      <c r="G47" s="9" t="inlineStr">
        <is>
          <t>Claude</t>
        </is>
      </c>
      <c r="H47" s="9" t="inlineStr">
        <is>
          <t>docs/plano-painel-devolutiva.md § 4 Fase 4</t>
        </is>
      </c>
      <c r="I47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8">
      <c r="A48" s="9" t="n">
        <v>47</v>
      </c>
      <c r="B48" s="9" t="inlineStr">
        <is>
          <t>Enviar o painel por e-mail ao avaliado</t>
        </is>
      </c>
      <c r="C48" s="9" t="inlineStr">
        <is>
          <t>Ao encerrar a devolutiva, mandar o resultado da sessão pelo Resend.</t>
        </is>
      </c>
      <c r="D48" s="9" t="inlineStr">
        <is>
          <t>Relatórios</t>
        </is>
      </c>
      <c r="E48" s="9" t="inlineStr">
        <is>
          <t>Concluído</t>
        </is>
      </c>
      <c r="F48" s="9" t="n">
        <v>47</v>
      </c>
      <c r="G48" s="9" t="inlineStr">
        <is>
          <t>Claude</t>
        </is>
      </c>
      <c r="H48" s="9" t="inlineStr">
        <is>
          <t>docs/plano-painel-devolutiva.md § 4 Fase 4</t>
        </is>
      </c>
      <c r="I48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49">
      <c r="A49" s="9" t="n">
        <v>48</v>
      </c>
      <c r="B49" s="9" t="inlineStr">
        <is>
          <t>Aba Livros por competência</t>
        </is>
      </c>
      <c r="C49" s="9" t="inlineStr">
        <is>
          <t>Leituras ligadas às competências mais baixas; depende dele montar um acervo curado.</t>
        </is>
      </c>
      <c r="D49" s="9" t="inlineStr">
        <is>
          <t>Conteúdo</t>
        </is>
      </c>
      <c r="E49" s="9" t="inlineStr">
        <is>
          <t>Concluído</t>
        </is>
      </c>
      <c r="F49" s="9" t="n">
        <v>48</v>
      </c>
      <c r="G49" s="9" t="inlineStr">
        <is>
          <t>Matheus</t>
        </is>
      </c>
      <c r="H49" s="9" t="inlineStr">
        <is>
          <t>docs/plano-painel-devolutiva.md § 4 Fase 4 e § 5 decisão 3 · referencia-cis-painel-devolutiva.md</t>
        </is>
      </c>
      <c r="I49" s="9" t="inlineStr">
        <is>
          <t>CANCELADA em 31/07 pela decisão do menu Mentorias: o painel de devolutiva mapeado do CIS foi removido. O princípio que importava — o plano é construído na conversa, não respondido sozinho depois — sobrevive como o checklist do pós-mentoria (ver docs/plano-mentorias.md). Registro mantido para o histórico não mentir sobre o que foi planejado.</t>
        </is>
      </c>
    </row>
    <row r="50">
      <c r="A50" s="9" t="n">
        <v>49</v>
      </c>
      <c r="B50" s="9" t="inlineStr">
        <is>
          <t>Design dos relatórios</t>
        </is>
      </c>
      <c r="C50" s="9" t="inlineStr">
        <is>
          <t>Retrabalho visual dos relatórios; o conteúdo e a profundidade já foram fechados.</t>
        </is>
      </c>
      <c r="D50" s="9" t="inlineStr">
        <is>
          <t>Relatórios</t>
        </is>
      </c>
      <c r="E50" s="9" t="inlineStr">
        <is>
          <t>Planejado</t>
        </is>
      </c>
      <c r="F50" s="9" t="n">
        <v>49</v>
      </c>
      <c r="G50" s="9" t="inlineStr">
        <is>
          <t>Claude</t>
        </is>
      </c>
      <c r="H50" s="9" t="inlineStr">
        <is>
          <t>docs/plano-demandas-30-07.md § Menor prioridade · estado-atual-e-fila.md item 15</t>
        </is>
      </c>
      <c r="I50" s="9" t="inlineStr">
        <is>
          <t>O conteúdo já está fechado; falta o visual, e ele mesmo disse: estrutura antes.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51">
      <c r="A51" s="9" t="n">
        <v>50</v>
      </c>
      <c r="B51" s="9" t="inlineStr">
        <is>
          <t>Link do teste levando ao painel, não direto ao teste</t>
        </is>
      </c>
      <c r="C51" s="9" t="inlineStr">
        <is>
          <t>O link enviado passaria a abrir o painel do aluno, com os testes listados lá dentro.</t>
        </is>
      </c>
      <c r="D51" s="9" t="inlineStr">
        <is>
          <t>Academy</t>
        </is>
      </c>
      <c r="E51" s="9" t="inlineStr">
        <is>
          <t>Planejado</t>
        </is>
      </c>
      <c r="F51" s="9" t="n">
        <v>50</v>
      </c>
      <c r="G51" s="9" t="inlineStr">
        <is>
          <t>Claude</t>
        </is>
      </c>
      <c r="H51" s="9" t="inlineStr">
        <is>
          <t>docs/plano-area-do-aluno.md § 1 item 2</t>
        </is>
      </c>
      <c r="I51" s="9" t="inlineStr">
        <is>
          <t>Muda a porta de entrada de todo mundo, então vem antes das telas novas do aluno.</t>
        </is>
      </c>
    </row>
    <row r="52">
      <c r="A52" s="9" t="n">
        <v>51</v>
      </c>
      <c r="B52" s="9" t="inlineStr">
        <is>
          <t>Mentor vê pontuação e ranking na tela do grupo</t>
        </is>
      </c>
      <c r="C52" s="9" t="inlineStr">
        <is>
          <t>Tudo que o aluno vê fica visível para o mentor, com pontuação e ranking dentro da tela do grupo.</t>
        </is>
      </c>
      <c r="D52" s="9" t="inlineStr">
        <is>
          <t>Academy</t>
        </is>
      </c>
      <c r="E52" s="9" t="inlineStr">
        <is>
          <t>Concluído</t>
        </is>
      </c>
      <c r="F52" s="9" t="n">
        <v>51</v>
      </c>
      <c r="G52" s="9" t="inlineStr">
        <is>
          <t>Claude</t>
        </is>
      </c>
      <c r="H52" s="9" t="inlineStr">
        <is>
          <t>docs/plano-area-do-aluno.md § 5</t>
        </is>
      </c>
      <c r="I52" s="9" t="inlineStr">
        <is>
          <t>Varredura completa do Claude Code, 03/08 (11 áreas, 237 demandas), cruzada com a varredura independente do chat. Aba Ranking em _app.grupos.$id.tsx:146, render em :251. No ar há dias.</t>
        </is>
      </c>
    </row>
    <row r="53">
      <c r="A53" s="9" t="n">
        <v>52</v>
      </c>
      <c r="B53" s="9" t="inlineStr">
        <is>
          <t>Perfil do aluno com empresa, banner e redes</t>
        </is>
      </c>
      <c r="C53" s="9" t="inlineStr">
        <is>
          <t>Enriquecer o perfil do aluno com empresa, banner de capa e links de redes sociais.</t>
        </is>
      </c>
      <c r="D53" s="9" t="inlineStr">
        <is>
          <t>Plataforma</t>
        </is>
      </c>
      <c r="E53" s="9" t="inlineStr">
        <is>
          <t>Planejado</t>
        </is>
      </c>
      <c r="F53" s="9" t="n">
        <v>52</v>
      </c>
      <c r="G53" s="9" t="inlineStr">
        <is>
          <t>Claude</t>
        </is>
      </c>
      <c r="H53" s="9" t="inlineStr">
        <is>
          <t>docs/plano-demandas-30-07.md § Menor prioridade · estado-atual-e-fila.md item 9</t>
        </is>
      </c>
      <c r="I53" s="9" t="inlineStr">
        <is>
          <t>Enriquece o perfil e alimenta a comunidade que vem depois.</t>
        </is>
      </c>
    </row>
    <row r="54">
      <c r="A54" s="9" t="n">
        <v>53</v>
      </c>
      <c r="B54" s="9" t="inlineStr">
        <is>
          <t>Publicar o resultado do teste na comunidade</t>
        </is>
      </c>
      <c r="C54" s="9" t="inlineStr">
        <is>
          <t>Item I/10: cartão do resultado no feed, só o próprio avaliado publica o dele, com aviso de quem vê e opção de remover.</t>
        </is>
      </c>
      <c r="D54" s="9" t="inlineStr">
        <is>
          <t>Comunidade</t>
        </is>
      </c>
      <c r="E54" s="9" t="inlineStr">
        <is>
          <t>Planejado</t>
        </is>
      </c>
      <c r="F54" s="9" t="n">
        <v>53</v>
      </c>
      <c r="G54" s="9" t="inlineStr">
        <is>
          <t>Claude</t>
        </is>
      </c>
      <c r="H54" s="9" t="inlineStr">
        <is>
          <t>docs/plano-demandas-30-07.md § I · docs/plano-area-do-aluno.md § 3 e Ordem de execução item 7 · estado-atual-e</t>
        </is>
      </c>
      <c r="I54" s="9" t="inlineStr">
        <is>
          <t>Ele autorizou; publicar é irreversível, então precisa de aviso claro e botão de remover.</t>
        </is>
      </c>
    </row>
    <row r="55">
      <c r="A55" s="9" t="n">
        <v>54</v>
      </c>
      <c r="B55" s="9" t="inlineStr">
        <is>
          <t>Enquete na comunidade</t>
        </is>
      </c>
      <c r="C55" s="9" t="inlineStr">
        <is>
          <t>Pergunta com opções e voto dentro do feed.</t>
        </is>
      </c>
      <c r="D55" s="9" t="inlineStr">
        <is>
          <t>Comunidade</t>
        </is>
      </c>
      <c r="E55" s="9" t="inlineStr">
        <is>
          <t>Planejado</t>
        </is>
      </c>
      <c r="F55" s="9" t="n">
        <v>54</v>
      </c>
      <c r="G55" s="9" t="inlineStr">
        <is>
          <t>Claude</t>
        </is>
      </c>
      <c r="H55" s="9" t="inlineStr">
        <is>
          <t>docs/plano-demandas-30-07.md § H · estado-atual-e-fila.md item 13</t>
        </is>
      </c>
      <c r="I55" s="9" t="inlineStr">
        <is>
          <t>Pedido dele para o feed, sem dependência de nada.</t>
        </is>
      </c>
    </row>
    <row r="56">
      <c r="A56" s="9" t="n">
        <v>55</v>
      </c>
      <c r="B56" s="9" t="inlineStr">
        <is>
          <t>Menções com @ na comunidade</t>
        </is>
      </c>
      <c r="C56" s="9" t="inlineStr">
        <is>
          <t>Escrever @ abre a lista de membros do grupo; quem for marcado recebe notificação pelo sino.</t>
        </is>
      </c>
      <c r="D56" s="9" t="inlineStr">
        <is>
          <t>Comunidade</t>
        </is>
      </c>
      <c r="E56" s="9" t="inlineStr">
        <is>
          <t>Planejado</t>
        </is>
      </c>
      <c r="F56" s="9" t="n">
        <v>55</v>
      </c>
      <c r="G56" s="9" t="inlineStr">
        <is>
          <t>Claude</t>
        </is>
      </c>
      <c r="H56" s="9" t="inlineStr">
        <is>
          <t>docs/plano-demandas-30-07.md § H · estado-atual-e-fila.md item 13</t>
        </is>
      </c>
      <c r="I56" s="9" t="inlineStr">
        <is>
          <t>Usa o sino que já existe; é engajamento barato.</t>
        </is>
      </c>
    </row>
    <row r="57">
      <c r="A57" s="9" t="n">
        <v>56</v>
      </c>
      <c r="B57" s="9" t="inlineStr">
        <is>
          <t>Evento no feed da comunidade</t>
        </is>
      </c>
      <c r="C57" s="9" t="inlineStr">
        <is>
          <t>Reaproveitar o evento da Agenda dentro do feed, aparecendo como cartão.</t>
        </is>
      </c>
      <c r="D57" s="9" t="inlineStr">
        <is>
          <t>Comunidade</t>
        </is>
      </c>
      <c r="E57" s="9" t="inlineStr">
        <is>
          <t>Planejado</t>
        </is>
      </c>
      <c r="F57" s="9" t="n">
        <v>56</v>
      </c>
      <c r="G57" s="9" t="inlineStr">
        <is>
          <t>Claude</t>
        </is>
      </c>
      <c r="H57" s="9" t="inlineStr">
        <is>
          <t>docs/plano-demandas-30-07.md § H · estado-atual-e-fila.md item 13</t>
        </is>
      </c>
      <c r="I57" s="9" t="inlineStr">
        <is>
          <t>Reaproveita o evento da Agenda como cartão, sem estrutura nova.</t>
        </is>
      </c>
    </row>
    <row r="58">
      <c r="A58" s="9" t="n">
        <v>57</v>
      </c>
      <c r="B58" s="9" t="inlineStr">
        <is>
          <t>Decidir quem paga e qual o teto do assistente de IA</t>
        </is>
      </c>
      <c r="C58" s="9" t="inlineStr">
        <is>
          <t>O assistente de IA da Academy é o único item da lista inteira com custo recorrente por uso. O plano registra que a decisão precisa vir antes da construção — quem paga e qual o teto —, senão aparece como surpresa na fatura. A decis</t>
        </is>
      </c>
      <c r="D58" s="9" t="inlineStr">
        <is>
          <t>Academy / IA</t>
        </is>
      </c>
      <c r="E58" s="9" t="inlineStr">
        <is>
          <t>Planejado</t>
        </is>
      </c>
      <c r="F58" s="9" t="n">
        <v>57</v>
      </c>
      <c r="G58" s="9" t="inlineStr">
        <is>
          <t>Matheus</t>
        </is>
      </c>
      <c r="H58" s="9" t="inlineStr">
        <is>
          <t>docs/plano-demandas-30-07.md, "Menor prioridade" (⚠️ custo recorrente) e tabela de pendências apresentada a el</t>
        </is>
      </c>
      <c r="I58" s="9" t="inlineStr">
        <is>
          <t>É o único item com custo por uso; sem teto definido vira surpresa na fatura.</t>
        </is>
      </c>
    </row>
    <row r="59">
      <c r="A59" s="9" t="n">
        <v>58</v>
      </c>
      <c r="B59" s="9" t="inlineStr">
        <is>
          <t>Assistente de IA na plataforma</t>
        </is>
      </c>
      <c r="C59" s="9" t="inlineStr">
        <is>
          <t>Assistente de IA dentro da Academy; único item com custo recorrente por uso.</t>
        </is>
      </c>
      <c r="D59" s="9" t="inlineStr">
        <is>
          <t>Academy</t>
        </is>
      </c>
      <c r="E59" s="9" t="inlineStr">
        <is>
          <t>Planejado</t>
        </is>
      </c>
      <c r="F59" s="9" t="n">
        <v>58</v>
      </c>
      <c r="G59" s="9" t="inlineStr">
        <is>
          <t>Matheus</t>
        </is>
      </c>
      <c r="H59" s="9" t="inlineStr">
        <is>
          <t>docs/plano-demandas-30-07.md § Menor prioridade · estado-atual-e-fila.md item 18</t>
        </is>
      </c>
      <c r="I59" s="9" t="inlineStr">
        <is>
          <t>Travado até a decisão de custo sair.</t>
        </is>
      </c>
    </row>
    <row r="60">
      <c r="A60" s="9" t="n">
        <v>59</v>
      </c>
      <c r="B60" s="9" t="inlineStr">
        <is>
          <t>Desenhar escopo por chave, uso e revogação antes do menu Integrações</t>
        </is>
      </c>
      <c r="C60" s="9" t="inlineStr">
        <is>
          <t>O menu Integrações via API é o item mais arriscado do backlog: dar chave de API a terceiros abre a porta dos dados de todo mundo. O plano é explícito — exige escopo por chave, registro de uso e revogação, e "não começar sem desenh</t>
        </is>
      </c>
      <c r="D60" s="9" t="inlineStr">
        <is>
          <t>Integrações</t>
        </is>
      </c>
      <c r="E60" s="9" t="inlineStr">
        <is>
          <t>Planejado</t>
        </is>
      </c>
      <c r="F60" s="9" t="n">
        <v>59</v>
      </c>
      <c r="G60" s="9" t="inlineStr">
        <is>
          <t>Claude</t>
        </is>
      </c>
      <c r="H60" s="9" t="inlineStr">
        <is>
          <t>docs/plano-demandas-30-07.md, "Menor prioridade" (⚠️ o mais arriscado)</t>
        </is>
      </c>
      <c r="I60" s="9" t="inlineStr">
        <is>
          <t>Chave de API sem escopo abre os dados de todo mundo; o desenho vem antes do código.</t>
        </is>
      </c>
    </row>
    <row r="61">
      <c r="A61" s="9" t="n">
        <v>60</v>
      </c>
      <c r="B61" s="9" t="inlineStr">
        <is>
          <t>Menu Integrações via API</t>
        </is>
      </c>
      <c r="C61" s="9" t="inlineStr">
        <is>
          <t>Chaves de API para terceiros; exige escopo por chave, registro de uso e revogação.</t>
        </is>
      </c>
      <c r="D61" s="9" t="inlineStr">
        <is>
          <t>Infra</t>
        </is>
      </c>
      <c r="E61" s="9" t="inlineStr">
        <is>
          <t>Planejado</t>
        </is>
      </c>
      <c r="F61" s="9" t="n">
        <v>60</v>
      </c>
      <c r="G61" s="9" t="inlineStr">
        <is>
          <t>Claude</t>
        </is>
      </c>
      <c r="H61" s="9" t="inlineStr">
        <is>
          <t>docs/plano-demandas-30-07.md § Menor prioridade · estado-atual-e-fila.md item 19</t>
        </is>
      </c>
      <c r="I61" s="9" t="inlineStr">
        <is>
          <t>Só começa depois que o desenho de escopo e revogação estiver de pé.</t>
        </is>
      </c>
    </row>
    <row r="62">
      <c r="A62" s="9" t="n">
        <v>61</v>
      </c>
      <c r="B62" s="9" t="inlineStr">
        <is>
          <t>Tela de consentimento do Google é Internal</t>
        </is>
      </c>
      <c r="C62" s="9" t="inlineStr">
        <is>
          <t>Só contas @metodointencao.com.br entram com Google; abrir para mentores de outros domínios exige virar External e passar pela verificação.</t>
        </is>
      </c>
      <c r="D62" s="9" t="inlineStr">
        <is>
          <t>Infra</t>
        </is>
      </c>
      <c r="E62" s="9" t="inlineStr">
        <is>
          <t>Planejado</t>
        </is>
      </c>
      <c r="F62" s="9" t="n">
        <v>61</v>
      </c>
      <c r="G62" s="9" t="inlineStr">
        <is>
          <t>Matheus</t>
        </is>
      </c>
      <c r="H62" s="9" t="inlineStr">
        <is>
          <t>publicacao-exige-cutover.md item 4</t>
        </is>
      </c>
      <c r="I62" s="9" t="inlineStr">
        <is>
          <t>Enquanto for Interno só o domínio dele entra com Google.</t>
        </is>
      </c>
    </row>
    <row r="63">
      <c r="A63" s="9" t="n">
        <v>62</v>
      </c>
      <c r="B63" s="9" t="inlineStr">
        <is>
          <t>Abrir o Google Calendar para alunos e mentores</t>
        </is>
      </c>
      <c r="C63" s="9" t="inlineStr">
        <is>
          <t>Ele pediu para não esquecer: enquanto o app for Interno, Gmail pessoal não conecta; abrir exige torná-lo Externo e passar pela verificação.</t>
        </is>
      </c>
      <c r="D63" s="9" t="inlineStr">
        <is>
          <t>Agenda</t>
        </is>
      </c>
      <c r="E63" s="9" t="inlineStr">
        <is>
          <t>Planejado</t>
        </is>
      </c>
      <c r="F63" s="9" t="n">
        <v>62</v>
      </c>
      <c r="G63" s="9" t="inlineStr">
        <is>
          <t>Matheus</t>
        </is>
      </c>
      <c r="H63" s="9" t="inlineStr">
        <is>
          <t>docs/google-calendar-passo-a-passo.md linhas 24-29 · backlog-menu-gestao.md item 2 · estado-atual-e-fila.md it</t>
        </is>
      </c>
      <c r="I63" s="9" t="inlineStr">
        <is>
          <t>Exige virar Externo e passar pela verificação do Google — decisão e trabalho dele.</t>
        </is>
      </c>
    </row>
    <row r="64">
      <c r="A64" s="9" t="n">
        <v>63</v>
      </c>
      <c r="B64" s="9" t="inlineStr">
        <is>
          <t>Cadastro público fechado — só a plataforma cria conta</t>
        </is>
      </c>
      <c r="C64" s="9" t="inlineStr">
        <is>
          <t>Conferido na API de auth em 03/08: mailer_autoconfirm=false (a confirmação está LIGADA de novo — o Matheus desligou em 31/07) e disable_signup=false (QUALQUER PESSOA da internet pode criar conta na plataforma). O segundo nunca tinha sido olhado.</t>
        </is>
      </c>
      <c r="D64" s="9" t="inlineStr">
        <is>
          <t>Infra</t>
        </is>
      </c>
      <c r="E64" s="9" t="inlineStr">
        <is>
          <t>Concluído</t>
        </is>
      </c>
      <c r="F64" s="9" t="n">
        <v>63</v>
      </c>
      <c r="G64" s="9" t="inlineStr">
        <is>
          <t>Matheus</t>
        </is>
      </c>
      <c r="H64" s="9" t="inlineStr">
        <is>
          <t>migracao-supabase-proprio.md § Falta ainda</t>
        </is>
      </c>
      <c r="I64" s="9" t="inlineStr">
        <is>
          <t>FECHADO pelo Matheus em 03/08, no painel do Supabase (Email provider → novos cadastros desligado). CONFERIDO POR FORA com teste real, não com a configuração: POST /auth/v1/signup com a chave pública devolve "Email signups are disabled". E o caminho de dentro continua vivo: admin/generate_link devolveu action_link normalmente, então criar conta no fim do teste, primeiro acesso e convite de equipe seguem funcionando. RESSALVA: o login com Google continua ativo e também cria conta — mas a tela de consentimento é Internal, então só e-mails @metodointencao.com.br entram. Vira porta aberta no dia em que a #61 abrir o Google para outros domínios. A confirmação de e-mail ficou LIGADA de propósito: com o cadastro fechado ela deixa de importar.</t>
        </is>
      </c>
    </row>
    <row r="65">
      <c r="A65" s="9" t="n">
        <v>64</v>
      </c>
      <c r="B65" s="9" t="inlineStr">
        <is>
          <t>Domínio personalizado</t>
        </is>
      </c>
      <c r="C65" s="9" t="inlineStr">
        <is>
          <t>Publicar em domínio próprio; quase todo o trabalho é DNS e é dele, e a troca mexe no endereço de retorno do login Google.</t>
        </is>
      </c>
      <c r="D65" s="9" t="inlineStr">
        <is>
          <t>Infra</t>
        </is>
      </c>
      <c r="E65" s="9" t="inlineStr">
        <is>
          <t>Concluído</t>
        </is>
      </c>
      <c r="F65" s="9" t="n">
        <v>64</v>
      </c>
      <c r="G65" s="9" t="inlineStr">
        <is>
          <t>Matheus</t>
        </is>
      </c>
      <c r="H65" s="9" t="inlineStr">
        <is>
          <t>docs/plano-demandas-30-07.md § Menor prioridade · estado-atual-e-fila.md item 16</t>
        </is>
      </c>
      <c r="I65" s="9" t="inlineStr">
        <is>
          <t>FECHADO 04/08. assessment.metodointencao.com.br está no ar (certificado válido, servindo a plataforma) desde antes desta demanda -- o trabalho aqui foi o código passar a saber disso. Achados 4 lugares com o endereço do Lovable escrito à mão (acesso-aluno.functions.ts x2, team.functions.ts, google.server.ts), todos usando 3 nomes de variável diferentes para a mesma coisa (SITE_URL, APP_URL, APP_APP_URL). Unificados numa função só (site-url.server.ts), com fallback já apontando para o domínio novo. Configurado o secret SITE_URL no Lovable (Cloud -&gt; Secrets) com o domínio novo. Publicado (deployment 37d3fa15), typecheck e build limpos. PROVADO com login real: (1) convite de teste enviado para o próprio e-mail -- o link aponta para o domínio novo; (2) login com Google PELO domínio novo completa (redirect_uri conferido byte a byte na URL de autorização do Google: https://assessment.metodointencao.com.br/api/google/callback, batendo com o que o Matheus já tinha autorizado no Cloud Console); (3) domínio antigo (persona-compass-suite.lovable.app) redireciona automaticamente (302) para o novo em TODAS as rotas -- comportamento do próprio Lovable ao anexar domínio próprio, não algo configurado aqui -- então o 'convívio dos dois domínios' pedido na demanda já está garantido pela plataforma, e testar login pelo domínio antigo seria repetir o mesmo teste do novo (o bounce acontece antes de qualquer código do app rodar). Achado extra, fora do escopo original: a mudança de domínio também exigiu atualizar o campo 'Site URL' do Supabase Auth (Authentication &gt; URL Configuration) -- sem isso, o link de primeiro acesso abria mas o redirecionamento final do magic link continuava batendo no domínio antigo, mesmo com o novo já na lista de Redirect URLs. Confirmado seguindo o link de verdade (curl -D -), não só lendo a resposta da API. Domínio do Lovable NÃO foi aposentado -- decisão do Matheus, depois de semanas sem incidente.</t>
        </is>
      </c>
    </row>
    <row r="66">
      <c r="A66" s="9" t="n">
        <v>65</v>
      </c>
      <c r="B66" s="9" t="inlineStr">
        <is>
          <t>Nome e marca da plataforma são personalizáveis (não é decisão)</t>
        </is>
      </c>
      <c r="C66" s="9" t="inlineStr">
        <is>
          <t>Escolher entre 'Métrica Humana' (padrão atual) e 'Método Intenção'; tecnicamente é só preencher company_name.</t>
        </is>
      </c>
      <c r="D66" s="9" t="inlineStr">
        <is>
          <t>Plataforma</t>
        </is>
      </c>
      <c r="E66" s="9" t="inlineStr">
        <is>
          <t>Concluído</t>
        </is>
      </c>
      <c r="F66" s="9" t="n">
        <v>65</v>
      </c>
      <c r="G66" s="9" t="inlineStr">
        <is>
          <t>Matheus</t>
        </is>
      </c>
      <c r="H66" s="9" t="inlineStr">
        <is>
          <t>estado-atual-e-fila.md § Pendências que são DELE</t>
        </is>
      </c>
      <c r="I66" s="9" t="inlineStr">
        <is>
          <t>CANCELADA como decisão em 01/08, a pedido do Matheus. O nome NÃO é uma escolha a fazer: é um campo editável nas Configurações do master (profiles.company_name), que ele troca quando quiser. Já está preenchido com 'INTENÇÃO ASSESSEMENT'. Eu tratei como bloqueio o que é só um campo de texto — e cheguei a usar isso como argumento para adiar a #219, errado.</t>
        </is>
      </c>
    </row>
    <row r="67">
      <c r="A67" s="9" t="n">
        <v>66</v>
      </c>
      <c r="B67" s="9" t="inlineStr">
        <is>
          <t>Subir o DMARC de p=none para p=quarantine</t>
        </is>
      </c>
      <c r="C67" s="9" t="inlineStr">
        <is>
          <t>Passo com data (meados de agosto/2026), depois de acumular histórico de envio.</t>
        </is>
      </c>
      <c r="D67" s="9" t="inlineStr">
        <is>
          <t>Infra</t>
        </is>
      </c>
      <c r="E67" s="9" t="inlineStr">
        <is>
          <t>Planejado</t>
        </is>
      </c>
      <c r="F67" s="9" t="n">
        <v>66</v>
      </c>
      <c r="G67" s="9" t="inlineStr">
        <is>
          <t>Matheus</t>
        </is>
      </c>
      <c r="H67" s="9" t="inlineStr">
        <is>
          <t>estado-atual-e-fila.md § Com data · dns-registro-br-autenticacao-email.md</t>
        </is>
      </c>
      <c r="I67" s="9" t="inlineStr">
        <is>
          <t>Tem data marcada para meados de agosto e é mexida no DNS dele.</t>
        </is>
      </c>
    </row>
    <row r="68">
      <c r="A68" s="9" t="n">
        <v>67</v>
      </c>
      <c r="B68" s="9" t="inlineStr">
        <is>
          <t>Push do navegador (Web Push)</t>
        </is>
      </c>
      <c r="C68" s="9" t="inlineStr">
        <is>
          <t>Service worker, chaves VAPID e tabela de inscrições; no iPhone só funciona com a plataforma instalada como aplicativo.</t>
        </is>
      </c>
      <c r="D68" s="9" t="inlineStr">
        <is>
          <t>Infra</t>
        </is>
      </c>
      <c r="E68" s="9" t="inlineStr">
        <is>
          <t>Planejado</t>
        </is>
      </c>
      <c r="F68" s="9" t="n">
        <v>67</v>
      </c>
      <c r="G68" s="9" t="inlineStr">
        <is>
          <t>Claude</t>
        </is>
      </c>
      <c r="H68" s="9" t="inlineStr">
        <is>
          <t>docs/plano-area-do-aluno.md § Anexo 2 item 5 · feature-notificacoes.md linhas 40-42</t>
        </is>
      </c>
      <c r="I68" s="9" t="inlineStr">
        <is>
          <t>Trabalho grande e no iPhone só funciona com o app instalado; o sino já cobre o essencial.</t>
        </is>
      </c>
    </row>
    <row r="69">
      <c r="A69" s="9" t="n">
        <v>68</v>
      </c>
      <c r="B69" s="9" t="inlineStr">
        <is>
          <t>Seleção pergunta a pergunta ao montar a bateria</t>
        </is>
      </c>
      <c r="C69" s="9" t="inlineStr">
        <is>
          <t>Escolher pergunta por pergunta, com o ajuste correspondente na normalização (mín/máx teóricos mudam).</t>
        </is>
      </c>
      <c r="D69" s="9" t="inlineStr">
        <is>
          <t>Testes</t>
        </is>
      </c>
      <c r="E69" s="9" t="inlineStr">
        <is>
          <t>Planejado</t>
        </is>
      </c>
      <c r="F69" s="9" t="n">
        <v>68</v>
      </c>
      <c r="G69" s="9" t="inlineStr">
        <is>
          <t>Claude</t>
        </is>
      </c>
      <c r="H69" s="9" t="inlineStr">
        <is>
          <t>CLAUDE.md § Estado atual e próximos passos</t>
        </is>
      </c>
      <c r="I69" s="9" t="inlineStr">
        <is>
          <t>Mexe na normalização do resultado, então só com tempo e calma.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0">
      <c r="A70" s="9" t="n">
        <v>69</v>
      </c>
      <c r="B70" s="9" t="inlineStr">
        <is>
          <t>Sem testes automatizados; lint só acusa formatação</t>
        </is>
      </c>
      <c r="C70" s="9" t="inlineStr">
        <is>
          <t>~1691 erros, todos prettier/prettier, e o format gera diff barulhento que atrapalha o sync do Lovable. Nenhum vitest/jest configurado.</t>
        </is>
      </c>
      <c r="D70" s="9" t="inlineStr">
        <is>
          <t>Infra</t>
        </is>
      </c>
      <c r="E70" s="9" t="inlineStr">
        <is>
          <t>Planejado</t>
        </is>
      </c>
      <c r="F70" s="9" t="n">
        <v>69</v>
      </c>
      <c r="G70" s="9" t="inlineStr">
        <is>
          <t>Claude</t>
        </is>
      </c>
      <c r="H70" s="9" t="inlineStr">
        <is>
          <t>run-local-e-supabase-env.md § Lint/testes</t>
        </is>
      </c>
      <c r="I70" s="9" t="inlineStr">
        <is>
          <t>Rede de proteção que ninguém vê, mas que evita repetir bugs já corrigidos.</t>
        </is>
      </c>
    </row>
    <row r="71">
      <c r="A71" s="9" t="n">
        <v>70</v>
      </c>
      <c r="B71" s="9" t="inlineStr">
        <is>
          <t>Avaliar gitignorar o .env commitado</t>
        </is>
      </c>
      <c r="C71" s="9" t="inlineStr">
        <is>
          <t>O .env está rastreado (só valores públicos); antes de remover, confirmar se o build do Lovable depende dele para as VITE_ vars.</t>
        </is>
      </c>
      <c r="D71" s="9" t="inlineStr">
        <is>
          <t>Infra</t>
        </is>
      </c>
      <c r="E71" s="9" t="inlineStr">
        <is>
          <t>Planejado</t>
        </is>
      </c>
      <c r="F71" s="9" t="n">
        <v>70</v>
      </c>
      <c r="G71" s="9" t="inlineStr">
        <is>
          <t>Claude</t>
        </is>
      </c>
      <c r="H71" s="9" t="inlineStr">
        <is>
          <t>run-local-e-supabase-env.md § .env no git</t>
        </is>
      </c>
      <c r="I71" s="9" t="inlineStr">
        <is>
          <t>Só valores públicos hoje; antes de tirar preciso confirmar que o build do Lovable não depende dele.</t>
        </is>
      </c>
    </row>
    <row r="72">
      <c r="A72" s="9" t="n">
        <v>71</v>
      </c>
      <c r="B72" s="9" t="inlineStr">
        <is>
          <t>Comparar aplicações de reteste (gráfico de evolução)</t>
        </is>
      </c>
      <c r="C72" s="9" t="inlineStr">
        <is>
          <t>O encadeamento das respostas já existe (attempt + previous_response_id); falta a tela lado a lado.</t>
        </is>
      </c>
      <c r="D72" s="9" t="inlineStr">
        <is>
          <t>Relatórios</t>
        </is>
      </c>
      <c r="E72" s="9" t="inlineStr">
        <is>
          <t>Planejado</t>
        </is>
      </c>
      <c r="F72" s="9" t="n">
        <v>71</v>
      </c>
      <c r="G72" s="9" t="inlineStr">
        <is>
          <t>Depende de dados</t>
        </is>
      </c>
      <c r="H72" s="9" t="inlineStr">
        <is>
          <t>estado-atual-e-fila.md item 12 · roadmap-proximas-features.md item 4</t>
        </is>
      </c>
      <c r="I72" s="9" t="inlineStr">
        <is>
          <t>Só tem graça quando existir gente com segunda aplicação na base.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3">
      <c r="A73" s="9" t="n">
        <v>72</v>
      </c>
      <c r="B73" s="9" t="inlineStr">
        <is>
          <t>Alpha de Cronbach na tela de Estatísticas</t>
        </is>
      </c>
      <c r="C73" s="9" t="inlineStr">
        <is>
          <t>Calcular e exibir a confiabilidade interna dos testes quando houver amostra suficiente.</t>
        </is>
      </c>
      <c r="D73" s="9" t="inlineStr">
        <is>
          <t>Relatórios</t>
        </is>
      </c>
      <c r="E73" s="9" t="inlineStr">
        <is>
          <t>Planejado</t>
        </is>
      </c>
      <c r="F73" s="9" t="n">
        <v>72</v>
      </c>
      <c r="G73" s="9" t="inlineStr">
        <is>
          <t>Depende de dados</t>
        </is>
      </c>
      <c r="H73" s="9" t="inlineStr">
        <is>
          <t>CLAUDE.md § Estado atual e próximos passos</t>
        </is>
      </c>
      <c r="I73" s="9" t="inlineStr">
        <is>
          <t>Sem amostra suficiente o número mente mais do que informa.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74">
      <c r="A74" s="9" t="n">
        <v>73</v>
      </c>
      <c r="B74" s="9" t="inlineStr">
        <is>
          <t>Evento recorrente fica fora por enquanto</t>
        </is>
      </c>
      <c r="C74" s="9" t="inlineStr">
        <is>
          <t>A necessidade de evento toda segunda pode surgir, mas recorrência é uma caixa de complexidade própria.</t>
        </is>
      </c>
      <c r="D74" s="9" t="inlineStr">
        <is>
          <t>Agenda</t>
        </is>
      </c>
      <c r="E74" s="9" t="inlineStr">
        <is>
          <t>Planejado</t>
        </is>
      </c>
      <c r="F74" s="9" t="n">
        <v>73</v>
      </c>
      <c r="G74" s="9" t="inlineStr">
        <is>
          <t>Claude</t>
        </is>
      </c>
      <c r="H74" s="9" t="inlineStr">
        <is>
          <t>docs/plano-menu-gestao.md § Etapa 3, Adequação provável</t>
        </is>
      </c>
      <c r="I74" s="9" t="inlineStr">
        <is>
          <t>Já ficou combinado adiar; recorrência é uma caixa de complexidade própria.</t>
        </is>
      </c>
    </row>
    <row r="75">
      <c r="A75" s="9" t="n">
        <v>74</v>
      </c>
      <c r="B75" s="9" t="inlineStr">
        <is>
          <t>Decisão: estrutura antes do visual</t>
        </is>
      </c>
      <c r="C75" s="9" t="inlineStr">
        <is>
          <t>Ele confirmou a ordem de execução: os itens estruturais A e B vêm antes do trabalho visual.</t>
        </is>
      </c>
      <c r="D75" s="9" t="inlineStr">
        <is>
          <t>Plataforma</t>
        </is>
      </c>
      <c r="E75" s="9" t="inlineStr">
        <is>
          <t>Planejado</t>
        </is>
      </c>
      <c r="F75" s="9" t="n">
        <v>74</v>
      </c>
      <c r="G75" s="9" t="inlineStr">
        <is>
          <t>Matheus</t>
        </is>
      </c>
      <c r="H75" s="9" t="inlineStr">
        <is>
          <t>docs/plano-demandas-30-07.md § Decisões, item 4</t>
        </is>
      </c>
      <c r="I75" s="9" t="inlineStr">
        <is>
          <t>Decisão fechada que manda na ordem desta lista inteira.</t>
        </is>
      </c>
    </row>
    <row r="76">
      <c r="A76" s="9" t="n">
        <v>75</v>
      </c>
      <c r="B76" s="9" t="inlineStr">
        <is>
          <t>Decisão: publicar resultado na comunidade — SIM</t>
        </is>
      </c>
      <c r="C76" s="9" t="inlineStr">
        <is>
          <t>Ele inverteu a decisão de 28/07 e autorizou, ciente de que publicar é irreversível na prática.</t>
        </is>
      </c>
      <c r="D76" s="9" t="inlineStr">
        <is>
          <t>Comunidade</t>
        </is>
      </c>
      <c r="E76" s="9" t="inlineStr">
        <is>
          <t>Planejado</t>
        </is>
      </c>
      <c r="F76" s="9" t="n">
        <v>75</v>
      </c>
      <c r="G76" s="9" t="inlineStr">
        <is>
          <t>Matheus</t>
        </is>
      </c>
      <c r="H76" s="9" t="inlineStr">
        <is>
          <t>docs/plano-demandas-30-07.md § Decisões, item 1</t>
        </is>
      </c>
      <c r="I76" s="9" t="inlineStr">
        <is>
          <t>Ele inverteu a decisão de 28/07 e autorizou, ciente de que é irreversível.</t>
        </is>
      </c>
    </row>
    <row r="77">
      <c r="A77" s="9" t="n">
        <v>76</v>
      </c>
      <c r="B77" s="9" t="inlineStr">
        <is>
          <t>Decisão: enquete com voto identificado</t>
        </is>
      </c>
      <c r="C77" s="9" t="inlineStr">
        <is>
          <t>Contra a recomendação de voto anônimo; ele decidiu sabendo do risco de constrangimento em grupo de empresa.</t>
        </is>
      </c>
      <c r="D77" s="9" t="inlineStr">
        <is>
          <t>Comunidade</t>
        </is>
      </c>
      <c r="E77" s="9" t="inlineStr">
        <is>
          <t>Planejado</t>
        </is>
      </c>
      <c r="F77" s="9" t="n">
        <v>76</v>
      </c>
      <c r="G77" s="9" t="inlineStr">
        <is>
          <t>Matheus</t>
        </is>
      </c>
      <c r="H77" s="9" t="inlineStr">
        <is>
          <t>docs/plano-demandas-30-07.md § Decisões, item 3</t>
        </is>
      </c>
      <c r="I77" s="9" t="inlineStr">
        <is>
          <t>Decisão dele contra a recomendação de voto anônimo, já ciente do risco.</t>
        </is>
      </c>
    </row>
    <row r="78">
      <c r="A78" s="9" t="n">
        <v>77</v>
      </c>
      <c r="B78" s="9" t="inlineStr">
        <is>
          <t>Decisão: ranking visível para o grupo todo</t>
        </is>
      </c>
      <c r="C78" s="9" t="inlineStr">
        <is>
          <t>O ranking é público dentro do grupo e vira menu do painel do aluno (o plano recomendava ranking opcional).</t>
        </is>
      </c>
      <c r="D78" s="9" t="inlineStr">
        <is>
          <t>Academy</t>
        </is>
      </c>
      <c r="E78" s="9" t="inlineStr">
        <is>
          <t>Concluído</t>
        </is>
      </c>
      <c r="F78" s="9" t="n">
        <v>77</v>
      </c>
      <c r="G78" s="9" t="inlineStr">
        <is>
          <t>Matheus</t>
        </is>
      </c>
      <c r="H78" s="9" t="inlineStr">
        <is>
          <t>docs/plano-area-do-aluno.md § Decisões, item 3</t>
        </is>
      </c>
      <c r="I78" s="9" t="inlineStr">
        <is>
          <t>Varredura completa do Claude Code, 03/08 (11 áreas, 237 demandas), cruzada com a varredura independente do chat. Ranking visível para o grupo todo: travado na policy do banco.</t>
        </is>
      </c>
    </row>
    <row r="79">
      <c r="A79" s="9" t="n">
        <v>78</v>
      </c>
      <c r="B79" s="9" t="inlineStr">
        <is>
          <t>Decisão: responder teste não pontua</t>
        </is>
      </c>
      <c r="C79" s="9" t="inlineStr">
        <is>
          <t>Pontos não ligados aos testes, para não pagar a pessoa por clicar rápido.</t>
        </is>
      </c>
      <c r="D79" s="9" t="inlineStr">
        <is>
          <t>Academy</t>
        </is>
      </c>
      <c r="E79" s="9" t="inlineStr">
        <is>
          <t>Concluído</t>
        </is>
      </c>
      <c r="F79" s="9" t="n">
        <v>78</v>
      </c>
      <c r="G79" s="9" t="inlineStr">
        <is>
          <t>Matheus</t>
        </is>
      </c>
      <c r="H79" s="9" t="inlineStr">
        <is>
          <t>docs/plano-area-do-aluno.md § Decisões, item 4 · fila-area-do-aluno.md linhas 35-37</t>
        </is>
      </c>
      <c r="I79" s="9" t="inlineStr">
        <is>
          <t>Varredura completa do Claude Code, 03/08 (11 áreas, 237 demandas), cruzada com a varredura independente do chat. Responder teste não pontua: travado no constraint do banco, impossível de burlar.</t>
        </is>
      </c>
    </row>
    <row r="80">
      <c r="A80" s="9" t="n">
        <v>79</v>
      </c>
      <c r="B80" s="9" t="inlineStr">
        <is>
          <t>Decisão: responder aos poucos exige entrar no painel</t>
        </is>
      </c>
      <c r="C80" s="9" t="inlineStr">
        <is>
          <t>Guardar respostas parciais e ver testes liberados só acontece dentro do painel do aluno.</t>
        </is>
      </c>
      <c r="D80" s="9" t="inlineStr">
        <is>
          <t>Academy</t>
        </is>
      </c>
      <c r="E80" s="9" t="inlineStr">
        <is>
          <t>Planejado</t>
        </is>
      </c>
      <c r="F80" s="9" t="n">
        <v>79</v>
      </c>
      <c r="G80" s="9" t="inlineStr">
        <is>
          <t>Matheus</t>
        </is>
      </c>
      <c r="H80" s="9" t="inlineStr">
        <is>
          <t>docs/plano-area-do-aluno.md § Decisões, item 1</t>
        </is>
      </c>
      <c r="I80" s="9" t="inlineStr">
        <is>
          <t>Resposta parcial só dentro do painel do aluno; já combinado.</t>
        </is>
      </c>
    </row>
    <row r="81">
      <c r="A81" s="9" t="n">
        <v>80</v>
      </c>
      <c r="B81" s="9" t="inlineStr">
        <is>
          <t>Decisão: responder sem conta continua permitido</t>
        </is>
      </c>
      <c r="C81" s="9" t="inlineStr">
        <is>
          <t>O link não passa a exigir cadastro; dá para responder a bateria inteira sem conta e ver o relatório.</t>
        </is>
      </c>
      <c r="D81" s="9" t="inlineStr">
        <is>
          <t>Testes</t>
        </is>
      </c>
      <c r="E81" s="9" t="inlineStr">
        <is>
          <t>Concluído</t>
        </is>
      </c>
      <c r="F81" s="9" t="n">
        <v>80</v>
      </c>
      <c r="G81" s="9" t="inlineStr">
        <is>
          <t>Matheus</t>
        </is>
      </c>
      <c r="H81" s="9" t="inlineStr">
        <is>
          <t>docs/plano-area-do-aluno.md § Decisões, item 1 · fila-area-do-aluno.md linhas 31-32</t>
        </is>
      </c>
      <c r="I81" s="9" t="inlineStr">
        <is>
          <t>Varredura completa do Claude Code, 03/08 (11 áreas, 237 demandas), cruzada com a varredura independente do chat. Responder sem conta continua permitido: já é a realidade do código.</t>
        </is>
      </c>
    </row>
    <row r="82">
      <c r="A82" s="9" t="n">
        <v>81</v>
      </c>
      <c r="B82" s="9" t="inlineStr">
        <is>
          <t>Decisão: QR rotativo com janela de validade dele</t>
        </is>
      </c>
      <c r="C82" s="9" t="inlineStr">
        <is>
          <t>Duas travas somadas: o código muda sozinho E só vale dentro do horário que ele define.</t>
        </is>
      </c>
      <c r="D82" s="9" t="inlineStr">
        <is>
          <t>Classroom</t>
        </is>
      </c>
      <c r="E82" s="9" t="inlineStr">
        <is>
          <t>Concluído</t>
        </is>
      </c>
      <c r="F82" s="9" t="n">
        <v>81</v>
      </c>
      <c r="G82" s="9" t="inlineStr">
        <is>
          <t>Matheus</t>
        </is>
      </c>
      <c r="H82" s="9" t="inlineStr">
        <is>
          <t>docs/analise-classroom.md § Decisões do Matheus, item 1</t>
        </is>
      </c>
      <c r="I82" s="9" t="inlineStr">
        <is>
          <t>Varredura completa do Claude Code, 03/08 (11 áreas, 237 demandas), cruzada com a varredura independente do chat. QR rotativo com janela de validade: decisão já operacionalizada.</t>
        </is>
      </c>
    </row>
    <row r="83">
      <c r="A83" s="9" t="n">
        <v>82</v>
      </c>
      <c r="B83" s="9" t="inlineStr">
        <is>
          <t>Decisão: presença manual pelo professor entra</t>
        </is>
      </c>
      <c r="C83" s="9" t="inlineStr">
        <is>
          <t>Cobre aluno sem senha, celular sem bateria, sem internet ou sem smartphone.</t>
        </is>
      </c>
      <c r="D83" s="9" t="inlineStr">
        <is>
          <t>Classroom</t>
        </is>
      </c>
      <c r="E83" s="9" t="inlineStr">
        <is>
          <t>Concluído</t>
        </is>
      </c>
      <c r="F83" s="9" t="n">
        <v>82</v>
      </c>
      <c r="G83" s="9" t="inlineStr">
        <is>
          <t>Matheus</t>
        </is>
      </c>
      <c r="H83" s="9" t="inlineStr">
        <is>
          <t>docs/analise-classroom.md § Decisões do Matheus, item 2</t>
        </is>
      </c>
      <c r="I83" s="9" t="inlineStr">
        <is>
          <t>Varredura completa do Claude Code, 03/08 (11 áreas, 237 demandas), cruzada com a varredura independente do chat. Presença manual pelo professor: decisão já operacionalizada.</t>
        </is>
      </c>
    </row>
    <row r="84">
      <c r="A84" s="9" t="n">
        <v>83</v>
      </c>
      <c r="B84" s="9" t="inlineStr">
        <is>
          <t>Decisão: o check-in abre a câmera do telefone</t>
        </is>
      </c>
      <c r="C84" s="9" t="inlineStr">
        <is>
          <t>Não abre leitor de QR dentro do app, porque o Safari do iPhone não tem leitor nativo no navegador.</t>
        </is>
      </c>
      <c r="D84" s="9" t="inlineStr">
        <is>
          <t>Classroom</t>
        </is>
      </c>
      <c r="E84" s="9" t="inlineStr">
        <is>
          <t>Concluído</t>
        </is>
      </c>
      <c r="F84" s="9" t="n">
        <v>83</v>
      </c>
      <c r="G84" s="9" t="inlineStr">
        <is>
          <t>Matheus</t>
        </is>
      </c>
      <c r="H84" s="9" t="inlineStr">
        <is>
          <t>docs/analise-classroom.md § Decisões do Matheus, item 3</t>
        </is>
      </c>
      <c r="I84" s="9" t="inlineStr">
        <is>
          <t>Varredura completa do Claude Code, 03/08 (11 áreas, 237 demandas), cruzada com a varredura independente do chat. Check-in abre a câmera: decisão já operacionalizada.</t>
        </is>
      </c>
    </row>
    <row r="85">
      <c r="A85" s="9" t="n">
        <v>84</v>
      </c>
      <c r="B85" s="9" t="inlineStr">
        <is>
          <t>Decisão: aluno sem senha usa o primeiro acesso</t>
        </is>
      </c>
      <c r="C85" s="9" t="inlineStr">
        <is>
          <t>Quem nunca criou senha cria pelo fluxo com validação por e-mail; a presença manual cobre o imprevisto do dia.</t>
        </is>
      </c>
      <c r="D85" s="9" t="inlineStr">
        <is>
          <t>Classroom</t>
        </is>
      </c>
      <c r="E85" s="9" t="inlineStr">
        <is>
          <t>Concluído</t>
        </is>
      </c>
      <c r="F85" s="9" t="n">
        <v>84</v>
      </c>
      <c r="G85" s="9" t="inlineStr">
        <is>
          <t>Matheus</t>
        </is>
      </c>
      <c r="H85" s="9" t="inlineStr">
        <is>
          <t>docs/analise-classroom.md § Decisões do Matheus, item 6</t>
        </is>
      </c>
      <c r="I85" s="9" t="inlineStr">
        <is>
          <t>Varredura completa do Claude Code, 03/08 (11 áreas, 237 demandas), cruzada com a varredura independente do chat. Aluno sem senha usa o primeiro acesso: decisão já operacionalizada.</t>
        </is>
      </c>
    </row>
    <row r="86">
      <c r="A86" s="9" t="n">
        <v>85</v>
      </c>
      <c r="B86" s="9" t="inlineStr">
        <is>
          <t>Decisão: resultado de teste fora da lista de presença</t>
        </is>
      </c>
      <c r="C86" s="9" t="inlineStr">
        <is>
          <t>A lista é documento que circula (RH, cliente, arquivo), então perfil comportamental não entra nela.</t>
        </is>
      </c>
      <c r="D86" s="9" t="inlineStr">
        <is>
          <t>Classroom</t>
        </is>
      </c>
      <c r="E86" s="9" t="inlineStr">
        <is>
          <t>Concluído</t>
        </is>
      </c>
      <c r="F86" s="9" t="n">
        <v>85</v>
      </c>
      <c r="G86" s="9" t="inlineStr">
        <is>
          <t>Matheus</t>
        </is>
      </c>
      <c r="H86" s="9" t="inlineStr">
        <is>
          <t>docs/analise-classroom.md § A tabela de presença — definitiva</t>
        </is>
      </c>
      <c r="I86" s="9" t="inlineStr">
        <is>
          <t>Varredura completa do Claude Code, 03/08 (11 áreas, 237 demandas), cruzada com a varredura independente do chat. Resultado de teste fora da lista de presença: decisão já operacionalizada.</t>
        </is>
      </c>
    </row>
    <row r="87">
      <c r="A87" s="9" t="n">
        <v>86</v>
      </c>
      <c r="B87" s="9" t="inlineStr">
        <is>
          <t>Decisão: Classroom com estrutura própria</t>
        </is>
      </c>
      <c r="C87" s="9" t="inlineStr">
        <is>
          <t>Não reaproveita as tabelas da Academy, sem chance de curso presencial vazar na lista de trilhas online.</t>
        </is>
      </c>
      <c r="D87" s="9" t="inlineStr">
        <is>
          <t>Classroom</t>
        </is>
      </c>
      <c r="E87" s="9" t="inlineStr">
        <is>
          <t>Concluído</t>
        </is>
      </c>
      <c r="F87" s="9" t="n">
        <v>86</v>
      </c>
      <c r="G87" s="9" t="inlineStr">
        <is>
          <t>Matheus</t>
        </is>
      </c>
      <c r="H87" s="9" t="inlineStr">
        <is>
          <t>docs/analise-classroom.md § Decisões do Matheus, item 4</t>
        </is>
      </c>
      <c r="I87" s="9" t="inlineStr">
        <is>
          <t>Varredura completa do Claude Code, 03/08 (11 áreas, 237 demandas), cruzada com a varredura independente do chat. Classroom com estrutura própria: decisão já operacionalizada.</t>
        </is>
      </c>
    </row>
    <row r="88">
      <c r="A88" s="9" t="n">
        <v>87</v>
      </c>
      <c r="B88" s="9" t="inlineStr">
        <is>
          <t>Decisão: Kanban é do master e dos mentores</t>
        </is>
      </c>
      <c r="C88" s="9" t="inlineStr">
        <is>
          <t>Ele incluiu os mentores (o plano propunha só o master) e manteve o aluno fora, porque o quadro mostra a situação dos colegas.</t>
        </is>
      </c>
      <c r="D88" s="9" t="inlineStr">
        <is>
          <t>Agenda</t>
        </is>
      </c>
      <c r="E88" s="9" t="inlineStr">
        <is>
          <t>Concluído</t>
        </is>
      </c>
      <c r="F88" s="9" t="n">
        <v>87</v>
      </c>
      <c r="G88" s="9" t="inlineStr">
        <is>
          <t>Matheus</t>
        </is>
      </c>
      <c r="H88" s="9" t="inlineStr">
        <is>
          <t>docs/plano-menu-gestao.md § Três decisões, item 3 · backlog-menu-gestao.md item 3</t>
        </is>
      </c>
      <c r="I88" s="9" t="inlineStr">
        <is>
          <t>Varredura completa do Claude Code, 03/08 (11 áreas, 237 demandas), cruzada com a varredura independente do chat. ÓRFÃ: o objeto desta demanda (Kanban de devolutivas) foi apagado em 31/07, quando o menu Mentorias substituiu Devolutivas. Não há mais o que fazer nem o que decidir. Registro mantido para o histórico não mentir sobre o que já foi planejado.</t>
        </is>
      </c>
    </row>
    <row r="89">
      <c r="A89" s="9" t="n">
        <v>88</v>
      </c>
      <c r="B89" s="9" t="inlineStr">
        <is>
          <t>Decisão: Google Calendar em mão única</t>
        </is>
      </c>
      <c r="C89" s="9" t="inlineStr">
        <is>
          <t>O que é marcado na plataforma vai para o Google e nada volta, para evitar conflito de edição dos dois lados.</t>
        </is>
      </c>
      <c r="D89" s="9" t="inlineStr">
        <is>
          <t>Agenda</t>
        </is>
      </c>
      <c r="E89" s="9" t="inlineStr">
        <is>
          <t>Concluído</t>
        </is>
      </c>
      <c r="F89" s="9" t="n">
        <v>88</v>
      </c>
      <c r="G89" s="9" t="inlineStr">
        <is>
          <t>Matheus</t>
        </is>
      </c>
      <c r="H89" s="9" t="inlineStr">
        <is>
          <t>docs/plano-menu-gestao.md § Três decisões, item 1 · backlog-menu-gestao.md item 1</t>
        </is>
      </c>
      <c r="I89" s="9" t="inlineStr">
        <is>
          <t>Varredura completa do Claude Code, 03/08 (11 áreas, 237 demandas), cruzada com a varredura independente do chat. Google Calendar em mão única já implementado — não é só decisão registrada.</t>
        </is>
      </c>
    </row>
    <row r="90">
      <c r="A90" s="9" t="n">
        <v>89</v>
      </c>
      <c r="B90" s="9" t="inlineStr">
        <is>
          <t>Decisão: só o master conecta o Google, por enquanto</t>
        </is>
      </c>
      <c r="C90" s="9" t="inlineStr">
        <is>
          <t>Começar com uma conta só, evitando a verificação do Google exigida para escopo sensível aberto.</t>
        </is>
      </c>
      <c r="D90" s="9" t="inlineStr">
        <is>
          <t>Agenda</t>
        </is>
      </c>
      <c r="E90" s="9" t="inlineStr">
        <is>
          <t>Concluído</t>
        </is>
      </c>
      <c r="F90" s="9" t="n">
        <v>89</v>
      </c>
      <c r="G90" s="9" t="inlineStr">
        <is>
          <t>Matheus</t>
        </is>
      </c>
      <c r="H90" s="9" t="inlineStr">
        <is>
          <t>docs/plano-menu-gestao.md § Três decisões, item 2 · backlog-menu-gestao.md item 2</t>
        </is>
      </c>
      <c r="I90" s="9" t="inlineStr">
        <is>
          <t>Varredura completa do Claude Code, 03/08 (11 áreas, 237 demandas), cruzada com a varredura independente do chat. Só o master conecta o Google: travado no código por exigirDono (google.functions.ts:15, :42, :52).</t>
        </is>
      </c>
    </row>
    <row r="91">
      <c r="A91" s="9" t="n">
        <v>90</v>
      </c>
      <c r="B91" s="9" t="inlineStr">
        <is>
          <t>Decisão: colaborador continua como está</t>
        </is>
      </c>
      <c r="C91" s="9" t="inlineStr">
        <is>
          <t>Colaborador não é aluno; é alguém da operação com permissões por funcionalidade.</t>
        </is>
      </c>
      <c r="D91" s="9" t="inlineStr">
        <is>
          <t>Infra</t>
        </is>
      </c>
      <c r="E91" s="9" t="inlineStr">
        <is>
          <t>Concluído</t>
        </is>
      </c>
      <c r="F91" s="9" t="n">
        <v>90</v>
      </c>
      <c r="G91" s="9" t="inlineStr">
        <is>
          <t>Matheus</t>
        </is>
      </c>
      <c r="H91" s="9" t="inlineStr">
        <is>
          <t>docs/plano-area-do-aluno.md § Anexo 3, item 5</t>
        </is>
      </c>
      <c r="I91" s="9" t="inlineStr">
        <is>
          <t>Varredura completa do Claude Code, 03/08 (11 áreas, 237 demandas), cruzada com a varredura independente do chat. Decisão já implementada: código e banco batem com o modelo de colaborador de hoje.</t>
        </is>
      </c>
    </row>
    <row r="92">
      <c r="A92" s="9" t="n">
        <v>91</v>
      </c>
      <c r="B92" s="9" t="inlineStr">
        <is>
          <t>Decisão: comunidade começou sem resultado de teste</t>
        </is>
      </c>
      <c r="C92" s="9" t="inlineStr">
        <is>
          <t>Decisão de 28/07: o feed saiu só com foto, texto, PDF e link, sem perfil comportamental (depois invertida em 29/07).</t>
        </is>
      </c>
      <c r="D92" s="9" t="inlineStr">
        <is>
          <t>Comunidade</t>
        </is>
      </c>
      <c r="E92" s="9" t="inlineStr">
        <is>
          <t>Planejado</t>
        </is>
      </c>
      <c r="F92" s="9" t="n">
        <v>91</v>
      </c>
      <c r="G92" s="9" t="inlineStr">
        <is>
          <t>Matheus</t>
        </is>
      </c>
      <c r="H92" s="9" t="inlineStr">
        <is>
          <t>docs/plano-area-do-aluno.md § Decisões, item 2</t>
        </is>
      </c>
      <c r="I92" s="9" t="inlineStr">
        <is>
          <t>Registro histórico de 28/07, já invertido pela decisão de 29/07.</t>
        </is>
      </c>
    </row>
    <row r="93">
      <c r="A93" s="9" t="n">
        <v>92</v>
      </c>
      <c r="B93" s="9" t="inlineStr">
        <is>
          <t>Agenda visual na plataforma (mês e semana)</t>
        </is>
      </c>
      <c r="C93" s="9" t="inlineStr">
        <is>
          <t>Calendário alimentado por devolutivas.scheduled_at; clicar no compromisso abre a devolutiva.</t>
        </is>
      </c>
      <c r="D93" s="9" t="inlineStr">
        <is>
          <t>Agenda</t>
        </is>
      </c>
      <c r="E93" s="9" t="inlineStr">
        <is>
          <t>Precisa de melhorias</t>
        </is>
      </c>
      <c r="F93" s="9" t="n">
        <v>92</v>
      </c>
      <c r="G93" s="9" t="inlineStr">
        <is>
          <t>Claude</t>
        </is>
      </c>
      <c r="H93" s="9" t="inlineStr">
        <is>
          <t>docs/plano-menu-gestao.md § Etapa 2 · backlog-menu-gestao.md § 1 · git log 562907c</t>
        </is>
      </c>
      <c r="I93" s="9" t="inlineStr">
        <is>
          <t>Só existe a visão de mês; a visão de semana, que fazia parte do pedido, não foi construída.</t>
        </is>
      </c>
    </row>
    <row r="94">
      <c r="A94" s="9" t="n">
        <v>93</v>
      </c>
      <c r="B94" s="9" t="inlineStr">
        <is>
          <t>Anotações do professor fora do alcance do aluno</t>
        </is>
      </c>
      <c r="C94" s="9" t="inlineStr">
        <is>
          <t>Saíram de treinamento_aulas (cuja RLS entrega a linha inteira) para treinamento_anotacoes, onde o aluno não tem policy.</t>
        </is>
      </c>
      <c r="D94" s="9" t="inlineStr">
        <is>
          <t>Classroom</t>
        </is>
      </c>
      <c r="E94" s="9" t="inlineStr">
        <is>
          <t>Concluído</t>
        </is>
      </c>
      <c r="F94" s="9" t="n">
        <v>93</v>
      </c>
      <c r="G94" s="9" t="inlineStr">
        <is>
          <t>Claude</t>
        </is>
      </c>
      <c r="H94" s="9" t="inlineStr">
        <is>
          <t>estado-atual-e-fila.md § Privacidade resolvida na etapa 3 · git log f13e284</t>
        </is>
      </c>
      <c r="I94" s="9" t="inlineStr">
        <is>
          <t>Policy anot_rw passou a usar posso_dar_aula(): dono, mentor do grupo e colaborador. O aluno continua de fora.</t>
        </is>
      </c>
    </row>
    <row r="95">
      <c r="A95" s="9" t="n">
        <v>94</v>
      </c>
      <c r="B95" s="9" t="inlineStr">
        <is>
          <t>Aviso na véspera de quem ainda não tem senha</t>
        </is>
      </c>
      <c r="C95" s="9" t="inlineStr">
        <is>
          <t>A tela do professor avisa quais alunos do grupo ainda não criaram senha — é o que esvazia a fila na porta.</t>
        </is>
      </c>
      <c r="D95" s="9" t="inlineStr">
        <is>
          <t>Classroom</t>
        </is>
      </c>
      <c r="E95" s="9" t="inlineStr">
        <is>
          <t>Concluído</t>
        </is>
      </c>
      <c r="F95" s="9" t="n">
        <v>94</v>
      </c>
      <c r="G95" s="9" t="inlineStr">
        <is>
          <t>Claude</t>
        </is>
      </c>
      <c r="H95" s="9" t="inlineStr">
        <is>
          <t>docs/analise-classroom.md § O que a etapa 4 decidiu na prática, item 4</t>
        </is>
      </c>
      <c r="I95" s="9" t="inlineStr">
        <is>
          <t>avisos_da_vespera(), calculada na leitura do sino e não num cron — a notificação só tem efeito quando alguém abre a plataforma. Índice único parcial impede o F5 de duplicar.</t>
        </is>
      </c>
    </row>
    <row r="96">
      <c r="A96" s="9" t="n">
        <v>95</v>
      </c>
      <c r="B96" s="9" t="inlineStr">
        <is>
          <t>Cadastros reais e autenticação</t>
        </is>
      </c>
      <c r="C96" s="9" t="inlineStr">
        <is>
          <t>CRUD de pessoas, grupos e testes ligado ao banco, com login de verdade no lugar dos dados de exemplo.</t>
        </is>
      </c>
      <c r="D96" s="9" t="inlineStr">
        <is>
          <t>Infra</t>
        </is>
      </c>
      <c r="E96" s="9" t="inlineStr">
        <is>
          <t>Concluído</t>
        </is>
      </c>
      <c r="F96" s="9" t="n">
        <v>95</v>
      </c>
      <c r="G96" s="9" t="inlineStr">
        <is>
          <t>Claude</t>
        </is>
      </c>
      <c r="H96" s="9" t="inlineStr">
        <is>
          <t>git log 04d05ca</t>
        </is>
      </c>
      <c r="I96" s="9" t="inlineStr">
        <is>
          <t>list_instruments passou a ler a tabela instruments. A lista fixa de mock-data.ts foi apagada.</t>
        </is>
      </c>
    </row>
    <row r="97">
      <c r="A97" s="9" t="n">
        <v>96</v>
      </c>
      <c r="B97" s="9" t="inlineStr">
        <is>
          <t>Conteúdo interpretativo de Valores, Temperamentos e VAK</t>
        </is>
      </c>
      <c r="C97" s="9" t="inlineStr">
        <is>
          <t>94 blocos novos em report_content no padrão do Big Five; com tudo empatado o relatório escolhe a síntese 'equilibrado'.</t>
        </is>
      </c>
      <c r="D97" s="9" t="inlineStr">
        <is>
          <t>Conteúdo</t>
        </is>
      </c>
      <c r="E97" s="9" t="inlineStr">
        <is>
          <t>Concluído</t>
        </is>
      </c>
      <c r="F97" s="9" t="n">
        <v>96</v>
      </c>
      <c r="G97" s="9" t="inlineStr">
        <is>
          <t>Claude</t>
        </is>
      </c>
      <c r="H97" s="9" t="inlineStr">
        <is>
          <t>avaliacao-bateria-e-relatorios.md § Outros achados</t>
        </is>
      </c>
      <c r="I97" s="9" t="inlineStr">
        <is>
          <t>supabase/estado/conteudo.json guarda os 502 blocos de report_content e as 71 faixas, com --restaurar no script.</t>
        </is>
      </c>
    </row>
    <row r="98">
      <c r="A98" s="9" t="n">
        <v>97</v>
      </c>
      <c r="B98" s="9" t="inlineStr">
        <is>
          <t>Correção de ~31 bugs</t>
        </is>
      </c>
      <c r="C98" s="9" t="inlineStr">
        <is>
          <t>Rodada de correção de aproximadamente 31 bugs na plataforma.</t>
        </is>
      </c>
      <c r="D98" s="9" t="inlineStr">
        <is>
          <t>Plataforma</t>
        </is>
      </c>
      <c r="E98" s="9" t="inlineStr">
        <is>
          <t>Precisa de melhorias</t>
        </is>
      </c>
      <c r="F98" s="9" t="n">
        <v>97</v>
      </c>
      <c r="G98" s="9" t="inlineStr">
        <is>
          <t>Claude</t>
        </is>
      </c>
      <c r="H98" s="9" t="inlineStr">
        <is>
          <t>CLAUDE.md § Estado atual e próximos passos</t>
        </is>
      </c>
      <c r="I98" s="9" t="inlineStr">
        <is>
          <t>Não existe lista nenhuma do que foi corrigido: ninguém consegue dizer quais eram os bugs, se todos saíram ou se algum voltou — o melhor caminho é anotar hoje o que ainda incomoda na plataforma.</t>
        </is>
      </c>
    </row>
    <row r="99">
      <c r="A99" s="9" t="n">
        <v>98</v>
      </c>
      <c r="B99" s="9" t="inlineStr">
        <is>
          <t>Equipe: mentor por grupo, colaborador por funcionalidade</t>
        </is>
      </c>
      <c r="C99" s="9" t="inlineStr">
        <is>
          <t>team_members + team_member_groups com can_download_reports, tudo ancorado em acting_account().</t>
        </is>
      </c>
      <c r="D99" s="9" t="inlineStr">
        <is>
          <t>Infra</t>
        </is>
      </c>
      <c r="E99" s="9" t="inlineStr">
        <is>
          <t>Concluído</t>
        </is>
      </c>
      <c r="F99" s="9" t="n">
        <v>98</v>
      </c>
      <c r="G99" s="9" t="inlineStr">
        <is>
          <t>Claude</t>
        </is>
      </c>
      <c r="H99" s="9" t="inlineStr">
        <is>
          <t>arquitetura-equipe-e-permissoes.md · fila-area-do-aluno.md tabela linha 21 · git log 0b81d22</t>
        </is>
      </c>
      <c r="I99" s="9" t="inlineStr">
        <is>
          <t>Provado com mentor convidado real atribuído só ao grupo A: não alcança pessoa, resposta, relatório nem devolutiva do grupo B, nem pela tela nem colando id na URL — RLS (tr_mentor_all, can_see_person) barra antes mesmo da checagem do servidor. No caminho, achado e corrigido: getPerson/getDashboardStats comparavam contra o uid de quem chamava em vez de acting_account(), fazendo o mentor não ver nem as próprias respostas de quem ele acompanha. Fechado no commit db0cd9e (31/07).</t>
        </is>
      </c>
    </row>
    <row r="100">
      <c r="A100" s="9" t="n">
        <v>99</v>
      </c>
      <c r="B100" s="9" t="inlineStr">
        <is>
          <t>Fotos de perfil (avatares)</t>
        </is>
      </c>
      <c r="C100" s="9" t="inlineStr">
        <is>
          <t>Bucket 'avatares' com leitura pública e escrita restrita à pasta do usuário; avatar para todos os papéis.</t>
        </is>
      </c>
      <c r="D100" s="9" t="inlineStr">
        <is>
          <t>Plataforma</t>
        </is>
      </c>
      <c r="E100" s="9" t="inlineStr">
        <is>
          <t>Concluído</t>
        </is>
      </c>
      <c r="F100" s="9" t="n">
        <v>99</v>
      </c>
      <c r="G100" s="9" t="inlineStr">
        <is>
          <t>Claude</t>
        </is>
      </c>
      <c r="H100" s="9" t="inlineStr">
        <is>
          <t>feature-tema-fotos-e-ver-como-aluno.md · git log 7b97f42</t>
        </is>
      </c>
      <c r="I100" s="9" t="inlineStr">
        <is>
          <t>Fechado junto com a biblioteca em c03134c. Bucket avatares virou privado; link assinado com 1 hora de validade — prazo maior de propósito, porque o avatar aparece em muitas listas ao mesmo tempo (ranking, comunidade, equipe) e quem pode ver a foto já é decidido por quem pode ver a pessoa. CONFERIDO POR FORA: bucket public=false; a chave pública não assina mais. Corrige a ressalva antiga ("o caminho deixou de ser adivinhável, mas o bucket segue público").</t>
        </is>
      </c>
    </row>
    <row r="101">
      <c r="A101" s="9" t="n">
        <v>100</v>
      </c>
      <c r="B101" s="9" t="inlineStr">
        <is>
          <t>Integração com o Google Calendar</t>
        </is>
      </c>
      <c r="C101" s="9" t="inlineStr">
        <is>
          <t>Botão 'Conectar meu Google Calendar' nas Configurações e sincronização silenciosa das devolutivas e eventos, sem nunca derrubar o agendamento interno.</t>
        </is>
      </c>
      <c r="D101" s="9" t="inlineStr">
        <is>
          <t>Agenda</t>
        </is>
      </c>
      <c r="E101" s="9" t="inlineStr">
        <is>
          <t>Concluído</t>
        </is>
      </c>
      <c r="F101" s="9" t="n">
        <v>100</v>
      </c>
      <c r="G101" s="9" t="inlineStr">
        <is>
          <t>Claude</t>
        </is>
      </c>
      <c r="H101" s="9" t="inlineStr">
        <is>
          <t>docs/plano-menu-gestao.md § Etapa 4 · docs/google-calendar-passo-a-passo.md · git log 08b0ade · git log a3141e</t>
        </is>
      </c>
      <c r="I101" s="9" t="inlineStr">
        <is>
          <t>Configurações mostra a última sincronia e um aviso vermelho com o erro do Google quando falhou. A função precisou de DROP antes do CREATE.</t>
        </is>
      </c>
    </row>
    <row r="102">
      <c r="A102" s="9" t="n">
        <v>101</v>
      </c>
      <c r="B102" s="9" t="inlineStr">
        <is>
          <t>Marcar e remarcar a data da devolutiva</t>
        </is>
      </c>
      <c r="C102" s="9" t="inlineStr">
        <is>
          <t>Corrige dois bugs: devolutiva criada sem data não tinha caminho de volta ao campo, e a coluna date aparecia um dia antes no Brasil.</t>
        </is>
      </c>
      <c r="D102" s="9" t="inlineStr">
        <is>
          <t>Agenda</t>
        </is>
      </c>
      <c r="E102" s="9" t="inlineStr">
        <is>
          <t>Concluído</t>
        </is>
      </c>
      <c r="F102" s="9" t="n">
        <v>101</v>
      </c>
      <c r="G102" s="9" t="inlineStr">
        <is>
          <t>Claude</t>
        </is>
      </c>
      <c r="H102" s="9" t="inlineStr">
        <is>
          <t>feature-devolutivas.md linhas 38-42 · git log 22ae517</t>
        </is>
      </c>
      <c r="I102" s="9" t="inlineStr">
        <is>
          <t>Varredura completa do Claude Code, 03/08 (11 áreas, 237 demandas), cruzada com a varredura independente do chat. ÓRFÃ: o objeto desta demanda (o botão de marcar/remarcar data da devolutiva) foi apagado em 31/07, quando o menu Mentorias substituiu Devolutivas. Não há mais o que fazer nem o que decidir. Registro mantido para o histórico não mentir sobre o que já foi planejado.</t>
        </is>
      </c>
    </row>
    <row r="103">
      <c r="A103" s="9" t="n">
        <v>102</v>
      </c>
      <c r="B103" s="9" t="inlineStr">
        <is>
          <t>Mentor afiliado: convite por e-mail e conta no link</t>
        </is>
      </c>
      <c r="C103" s="9" t="inlineStr">
        <is>
          <t>Criar e reenviar convite passam a mandar e-mail de verdade, e o link do convite abre a criação de senha e entra direto. Antes o token era gerado e ninguém era avisado.</t>
        </is>
      </c>
      <c r="D103" s="9" t="inlineStr">
        <is>
          <t>Infra</t>
        </is>
      </c>
      <c r="E103" s="9" t="inlineStr">
        <is>
          <t>Precisa de melhorias</t>
        </is>
      </c>
      <c r="F103" s="9" t="n">
        <v>102</v>
      </c>
      <c r="G103" s="9" t="inlineStr">
        <is>
          <t>Claude</t>
        </is>
      </c>
      <c r="H103" s="9" t="inlineStr">
        <is>
          <t>docs/plano-area-do-aluno.md § Anexo 1 plano A · fila-area-do-aluno.md § Mentor afiliado · seguranca-primeiro-a</t>
        </is>
      </c>
      <c r="I103" s="9" t="inlineStr">
        <is>
          <t>A tela /mentores foi APOSENTADA (virou redirect para /pessoas): era o fluxo velho, que criava team_members sem person_id. O convite hoje é 'promover a mentor' na ficha da pessoa. FALTA: promover um parceiro de verdade e acompanhar até ele entrar — é o único jeito de provar que o e-mail de convite chega e o primeiro acesso funciona.</t>
        </is>
      </c>
    </row>
    <row r="104">
      <c r="A104" s="9" t="n">
        <v>103</v>
      </c>
      <c r="B104" s="9" t="inlineStr">
        <is>
          <t>Mentor vira aluno promovido: um cadastro, um painel</t>
        </is>
      </c>
      <c r="C104" s="9" t="inlineStr">
        <is>
          <t>team_members passa a apontar para people, promover/rebaixar vira ação na ficha da pessoa e /aluno ganha o menu Grupos.</t>
        </is>
      </c>
      <c r="D104" s="9" t="inlineStr">
        <is>
          <t>Infra</t>
        </is>
      </c>
      <c r="E104" s="9" t="inlineStr">
        <is>
          <t>Concluído</t>
        </is>
      </c>
      <c r="F104" s="9" t="n">
        <v>103</v>
      </c>
      <c r="G104" s="9" t="inlineStr">
        <is>
          <t>Claude</t>
        </is>
      </c>
      <c r="H104" s="9" t="inlineStr">
        <is>
          <t>docs/plano-area-do-aluno.md § Anexo 3 itens 1, 2 e 4 · fila-area-do-aluno.md tabela linha 22 · git log bd83548</t>
        </is>
      </c>
      <c r="I104" s="9" t="inlineStr">
        <is>
          <t>/mentores virou redirect para /pessoas: era o fluxo VELHO, que criava team_members sem person_id (cadastro solto). O vigente é promover_a_mentor na ficha da pessoa. Conferido no banco: zero mentores sem person_id — a virada não duplicou ninguém.</t>
        </is>
      </c>
    </row>
    <row r="105">
      <c r="A105" s="9" t="n">
        <v>104</v>
      </c>
      <c r="B105" s="9" t="inlineStr">
        <is>
          <t>Menu Gestão com abas Agenda e Kanban</t>
        </is>
      </c>
      <c r="C105" s="9" t="inlineStr">
        <is>
          <t>Menu novo na barra lateral reunindo a agenda visual e o quadro de devolutivas.</t>
        </is>
      </c>
      <c r="D105" s="9" t="inlineStr">
        <is>
          <t>Agenda</t>
        </is>
      </c>
      <c r="E105" s="9" t="inlineStr">
        <is>
          <t>Concluído</t>
        </is>
      </c>
      <c r="F105" s="9" t="n">
        <v>104</v>
      </c>
      <c r="G105" s="9" t="inlineStr">
        <is>
          <t>Claude</t>
        </is>
      </c>
      <c r="H105" s="9" t="inlineStr">
        <is>
          <t>docs/plano-menu-gestao.md § Etapa 1 · backlog-menu-gestao.md</t>
        </is>
      </c>
      <c r="I105" s="9" t="inlineStr">
        <is>
          <t>Varredura completa do Claude Code, 03/08 (11 áreas, 237 demandas), cruzada com a varredura independente do chat. O 'REGISTRO ERRADO' já escrito aqui tem uma imprecisão sobre QUANDO as telas sumiram — o conteúdo da decisão segue certo.</t>
        </is>
      </c>
    </row>
    <row r="106">
      <c r="A106" s="9" t="n">
        <v>105</v>
      </c>
      <c r="B106" s="9" t="inlineStr">
        <is>
          <t>Permissão de baixar PDF do relatório</t>
        </is>
      </c>
      <c r="C106" s="9" t="inlineStr">
        <is>
          <t>Mentor sem a permissão 'pode baixar' no grupo deixa de ver o botão de PDF.</t>
        </is>
      </c>
      <c r="D106" s="9" t="inlineStr">
        <is>
          <t>Relatórios</t>
        </is>
      </c>
      <c r="E106" s="9" t="inlineStr">
        <is>
          <t>Concluído</t>
        </is>
      </c>
      <c r="F106" s="9" t="n">
        <v>105</v>
      </c>
      <c r="G106" s="9" t="inlineStr">
        <is>
          <t>Claude</t>
        </is>
      </c>
      <c r="H106" s="9" t="inlineStr">
        <is>
          <t>git log b89c970</t>
        </is>
      </c>
      <c r="I106" s="9" t="inlineStr">
        <is>
          <t>Provado: mentor sem 'pode baixar' naquele grupo não vê o botão de PDF em Pessoas, E a rota de download nega mesmo se o botão for forçado (checagem fecha aberta corretamente). Achado e corrigido no caminho: o Dashboard tinha cartões clicáveis para áreas fora da permissão do colaborador (bypass real, não só cosmético). Fechado no commit db0cd9e (31/07).</t>
        </is>
      </c>
    </row>
    <row r="107">
      <c r="A107" s="9" t="n">
        <v>106</v>
      </c>
      <c r="B107" s="9" t="inlineStr">
        <is>
          <t>Ranking e aba Membros ao lado do feed</t>
        </is>
      </c>
      <c r="C107" s="9" t="inlineStr">
        <is>
          <t>Item F: o ranking sai de menu próprio e vira coluna à esquerda do feed, com nova aba Membros.</t>
        </is>
      </c>
      <c r="D107" s="9" t="inlineStr">
        <is>
          <t>Comunidade</t>
        </is>
      </c>
      <c r="E107" s="9" t="inlineStr">
        <is>
          <t>Concluído</t>
        </is>
      </c>
      <c r="F107" s="9" t="n">
        <v>106</v>
      </c>
      <c r="G107" s="9" t="inlineStr">
        <is>
          <t>Claude</t>
        </is>
      </c>
      <c r="H107" s="9" t="inlineStr">
        <is>
          <t>docs/plano-demandas-30-07.md § F · git log ba4f628</t>
        </is>
      </c>
      <c r="I107" s="9" t="inlineStr">
        <is>
          <t>Já estava feito: aluno.ranking.tsx:82 mostra os grupos como abas quando há mais de um. A ressalva era memória velha.</t>
        </is>
      </c>
    </row>
    <row r="108">
      <c r="A108" s="9" t="n">
        <v>107</v>
      </c>
      <c r="B108" s="9" t="inlineStr">
        <is>
          <t>SPF, DKIM e DMARC no Registro.br</t>
        </is>
      </c>
      <c r="C108" s="9" t="inlineStr">
        <is>
          <t>Zona do metodointencao.com.br com SPF do Google, DMARC p=none, DKIM do Workspace e os registros do Resend; verificado em quatro resolvedores.</t>
        </is>
      </c>
      <c r="D108" s="9" t="inlineStr">
        <is>
          <t>Infra</t>
        </is>
      </c>
      <c r="E108" s="9" t="inlineStr">
        <is>
          <t>Concluído</t>
        </is>
      </c>
      <c r="F108" s="9" t="n">
        <v>107</v>
      </c>
      <c r="G108" s="9" t="inlineStr">
        <is>
          <t>Claude</t>
        </is>
      </c>
      <c r="H108" s="9" t="inlineStr">
        <is>
          <t>dns-registro-br-autenticacao-email.md</t>
        </is>
      </c>
      <c r="I108" s="9" t="inlineStr">
        <is>
          <t>docs/autenticacao-de-email.md, escrito consultando o DNS ao vivo. Registra o que está publicado e por que o SPF da raiz não citar o Resend NÃO é defeito. Achado: DMARC em p=none não protege nada — o caminho para p=quarantine está no documento, não executado por ser DNS do domínio dele.</t>
        </is>
      </c>
    </row>
    <row r="109">
      <c r="A109" s="9" t="n">
        <v>108</v>
      </c>
      <c r="B109" s="9" t="inlineStr">
        <is>
          <t>Selo da empresa no rodapé de todas as páginas</t>
        </is>
      </c>
      <c r="C109" s="9" t="inlineStr">
        <is>
          <t>Item K: nome e CNPJ identificando quem opera a plataforma, em telas internas e públicas, sem chave de ligar/desligar.</t>
        </is>
      </c>
      <c r="D109" s="9" t="inlineStr">
        <is>
          <t>Plataforma</t>
        </is>
      </c>
      <c r="E109" s="9" t="inlineStr">
        <is>
          <t>Precisa de melhorias</t>
        </is>
      </c>
      <c r="F109" s="9" t="n">
        <v>108</v>
      </c>
      <c r="G109" s="9" t="inlineStr">
        <is>
          <t>Claude</t>
        </is>
      </c>
      <c r="H109" s="9" t="inlineStr">
        <is>
          <t>docs/plano-demandas-30-07.md § item K · git log 238e88a</t>
        </is>
      </c>
      <c r="I109" s="9" t="inlineStr">
        <is>
          <t>Feito na tela que mais importa: /responder aplicava a marca padrão porque ResponseForm ignorava o `brand` que o endpoint sempre devolveu — não era só o selo, era cor e logo também. Selo nos quatro finais da tela. /convite já tinha. FALTA: /convite-equipe (dá para fazer: o token identifica a conta e dadosDoConvite existe, mas a tela nem chama). /auth NÃO dá: é o login da plataforma inteira e a conta só se conhece depois de entrar.</t>
        </is>
      </c>
    </row>
    <row r="110">
      <c r="A110" s="9" t="n">
        <v>109</v>
      </c>
      <c r="B110" s="9" t="inlineStr">
        <is>
          <t>Tipo de pergunta forced_choice</t>
        </is>
      </c>
      <c r="C110" s="9" t="inlineStr">
        <is>
          <t>Escolha forçada most/least usada em DISC, Valores, Temperamentos e VAK, gerando natural e adaptado.</t>
        </is>
      </c>
      <c r="D110" s="9" t="inlineStr">
        <is>
          <t>Testes</t>
        </is>
      </c>
      <c r="E110" s="9" t="inlineStr">
        <is>
          <t>Concluído</t>
        </is>
      </c>
      <c r="F110" s="9" t="n">
        <v>109</v>
      </c>
      <c r="G110" s="9" t="inlineStr">
        <is>
          <t>Claude</t>
        </is>
      </c>
      <c r="H110" s="9" t="inlineStr">
        <is>
          <t>CLAUDE.md § Estado atual e § Motor de pontuação · git log dbb083a</t>
        </is>
      </c>
      <c r="I110" s="9" t="inlineStr">
        <is>
          <t>listResponses devolve aceita_observador; o botão some em Big Five e QI. O servidor continua recusando, como backstop.</t>
        </is>
      </c>
    </row>
    <row r="111">
      <c r="A111" s="9" t="n">
        <v>110</v>
      </c>
      <c r="B111" s="9" t="inlineStr">
        <is>
          <t>'Continue assistindo' e progresso no card da trilha</t>
        </is>
      </c>
      <c r="C111" s="9" t="inlineStr">
        <is>
          <t>learning_progress já tem track_id e user_id, mas listTracks não agrega. Sem isso o aluno não distingue trilha nunca aberta de trilha 80% concluída, e precisa lembrar onde parou.</t>
        </is>
      </c>
      <c r="D111" s="9" t="inlineStr">
        <is>
          <t>Academy</t>
        </is>
      </c>
      <c r="E111" s="9" t="inlineStr">
        <is>
          <t>Planejado</t>
        </is>
      </c>
      <c r="F111" s="9" t="n">
        <v>110</v>
      </c>
      <c r="G111" s="9" t="inlineStr">
        <is>
          <t>Claude</t>
        </is>
      </c>
      <c r="H111" s="9" t="inlineStr">
        <is>
          <t>levantamento do G-3, 30/07</t>
        </is>
      </c>
      <c r="I111" s="9" t="inlineStr"/>
    </row>
    <row r="112">
      <c r="A112" s="9" t="n">
        <v>111</v>
      </c>
      <c r="B112" s="9" t="inlineStr">
        <is>
          <t>Arquivo da biblioteca continua acessível por link direto</t>
        </is>
      </c>
      <c r="C112" s="9" t="inlineStr">
        <is>
          <t>O bucket 'biblioteca' é público. O cadeado esconde a LINHA, não o ARQUIVO: quem já tinha a URL continua baixando depois de perder o acesso. Fechar exige bucket privado + URL assinada.</t>
        </is>
      </c>
      <c r="D112" s="9" t="inlineStr">
        <is>
          <t>Academy</t>
        </is>
      </c>
      <c r="E112" s="9" t="inlineStr">
        <is>
          <t>Concluído</t>
        </is>
      </c>
      <c r="F112" s="9" t="n">
        <v>111</v>
      </c>
      <c r="G112" s="9" t="inlineStr">
        <is>
          <t>Claude</t>
        </is>
      </c>
      <c r="H112" s="9" t="inlineStr">
        <is>
          <t>levantamento das pastas, 30/07</t>
        </is>
      </c>
      <c r="I112" s="9" t="inlineStr">
        <is>
          <t>Fechado em c03134c (ponto de retorno em 6875626). Bucket biblioteca virou privado; toda tela pede link assinado ao servidor, que decide na hora quem pode ver (10 min para material/capa/banner). CONFERIDO POR FORA: bucket public=false; a URL pública antiga do material devolve HTTP 400 sem login; a chave pública (a que vai embutida no navegador) já não consegue assinar link — antes conseguia. ACHADO EXTRA fechado junto: com só a chave pública dava para pedir link válido de QUALQUER arquivo dos dois buckets pelo Console (F12); fechar o bucket sozinho não resolveria isso. Coluna arquivo_proprio substituiu a adivinhação pelo formato da URL. RESSALVA: mentor convidado e colaborador não foram testados com login separado — passam pela mesma função de servidor que dono e aluno, que foram testados. Fica coberto pela demanda #19 (provar os papéis com conta de colaborador).</t>
        </is>
      </c>
    </row>
    <row r="113">
      <c r="A113" s="9" t="n">
        <v>112</v>
      </c>
      <c r="B113" s="9" t="inlineStr">
        <is>
          <t>Capa de trilha sem limite de tamanho</t>
        </is>
      </c>
      <c r="C113" s="9" t="inlineStr">
        <is>
          <t>Banner e capa de material têm limite de 3 MB; a capa da TRILHA é só um campo de URL colada, sem upload nem limite. É a imagem que se repete em toda prateleira — uma capa de 8 MB trava a Academy no 4G do aluno.</t>
        </is>
      </c>
      <c r="D113" s="9" t="inlineStr">
        <is>
          <t>Academy</t>
        </is>
      </c>
      <c r="E113" s="9" t="inlineStr">
        <is>
          <t>Concluído</t>
        </is>
      </c>
      <c r="F113" s="9" t="n">
        <v>112</v>
      </c>
      <c r="G113" s="9" t="inlineStr">
        <is>
          <t>Claude</t>
        </is>
      </c>
      <c r="H113" s="9" t="inlineStr">
        <is>
          <t>levantamento do G-3, 30/07</t>
        </is>
      </c>
      <c r="I113" s="9" t="inlineStr">
        <is>
          <t>urlOpcional (src/lib/url-segura.ts) valida http/https nos cinco campos de link: capa de trilha, capa de treinamento, vídeo da aula e os dois avatares.</t>
        </is>
      </c>
    </row>
    <row r="114">
      <c r="A114" s="9" t="n">
        <v>113</v>
      </c>
      <c r="B114" s="9" t="inlineStr">
        <is>
          <t>Prateleiras sem seta de rolagem</t>
        </is>
      </c>
      <c r="C114" s="9" t="inlineStr">
        <is>
          <t>As fileiras são só overflow-x-auto. No macOS a barra fica invisível até o gesto começar — sem seta e sem card cortado pela metade, quem usa desktop não descobre que há mais trilhas à direita.</t>
        </is>
      </c>
      <c r="D114" s="9" t="inlineStr">
        <is>
          <t>Academy</t>
        </is>
      </c>
      <c r="E114" s="9" t="inlineStr">
        <is>
          <t>Planejado</t>
        </is>
      </c>
      <c r="F114" s="9" t="n">
        <v>113</v>
      </c>
      <c r="G114" s="9" t="inlineStr">
        <is>
          <t>Claude</t>
        </is>
      </c>
      <c r="H114" s="9" t="inlineStr">
        <is>
          <t>levantamento do G-3, 30/07</t>
        </is>
      </c>
      <c r="I114" s="9" t="inlineStr"/>
    </row>
    <row r="115">
      <c r="A115" s="9" t="n">
        <v>114</v>
      </c>
      <c r="B115" s="9" t="inlineStr">
        <is>
          <t>GRANT EXECUTE nas funções SECURITY DEFINER</t>
        </is>
      </c>
      <c r="C115" s="9" t="inlineStr">
        <is>
          <t>As policies de teste dependem dessas funções; o scanner do Lovable já revogou o grant uma vez e derrubou o app inteiro.</t>
        </is>
      </c>
      <c r="D115" s="9" t="inlineStr">
        <is>
          <t>Infra</t>
        </is>
      </c>
      <c r="E115" s="9" t="inlineStr">
        <is>
          <t>Concluído</t>
        </is>
      </c>
      <c r="F115" s="9" t="n">
        <v>114</v>
      </c>
      <c r="G115" s="9" t="inlineStr">
        <is>
          <t>Claude</t>
        </is>
      </c>
      <c r="H115" s="9" t="inlineStr">
        <is>
          <t>CLAUDE.md § Modelo de dados</t>
        </is>
      </c>
      <c r="I115" s="9" t="inlineStr">
        <is>
          <t>Varredura completa do Claude Code, 03/08 (11 áreas, 237 demandas), cruzada com a varredura independente do chat. Três funções seguem sem GRANT, e isso é INTENCIONAL — foram fechadas no trabalho de segurança de 30/07. Ver #241.</t>
        </is>
      </c>
    </row>
    <row r="116">
      <c r="A116" s="9" t="n">
        <v>115</v>
      </c>
      <c r="B116" s="9" t="inlineStr">
        <is>
          <t>Alerta crítico do scanner do Lovable sobre report_content</t>
        </is>
      </c>
      <c r="C116" s="9" t="inlineStr">
        <is>
          <t>A policy rc_read_authenticated (USING true) deixa qualquer usuário logado ler o conteúdo de relatório de todos os mentores. Está assim por design (o conteúdo é global e compartilhado), mas o alerta continua aberto no painel do Lov</t>
        </is>
      </c>
      <c r="D116" s="9" t="inlineStr">
        <is>
          <t>Segurança / RLS</t>
        </is>
      </c>
      <c r="E116" s="9" t="inlineStr">
        <is>
          <t>Concluído</t>
        </is>
      </c>
      <c r="F116" s="9" t="n">
        <v>115</v>
      </c>
      <c r="G116" s="9" t="inlineStr">
        <is>
          <t>Claude</t>
        </is>
      </c>
      <c r="H116" s="9" t="inlineStr">
        <is>
          <t>memory/publicacao-exige-cutover.md, seção "⚠️ Alertas do scanner do Lovable — NÃO clicar em Try to fix all" (a</t>
        </is>
      </c>
      <c r="I116" s="9" t="inlineStr">
        <is>
          <t>Conferido: policy agora é version_id IS NULL OR owns_test_version(). Relatório continua montando as 8 seções pelo endpoint público (usa service role).</t>
        </is>
      </c>
    </row>
    <row r="117">
      <c r="A117" s="9" t="n">
        <v>116</v>
      </c>
      <c r="B117" s="9" t="inlineStr">
        <is>
          <t>'Não pode baixar' é só trava de interface</t>
        </is>
      </c>
      <c r="C117" s="9" t="inlineStr">
        <is>
          <t>O link do relatório é aberto, então quem tiver o link imprime pelo navegador mesmo sem can_download_reports.</t>
        </is>
      </c>
      <c r="D117" s="9" t="inlineStr">
        <is>
          <t>Relatórios</t>
        </is>
      </c>
      <c r="E117" s="9" t="inlineStr">
        <is>
          <t>Concluído</t>
        </is>
      </c>
      <c r="F117" s="9" t="n">
        <v>116</v>
      </c>
      <c r="G117" s="9" t="inlineStr">
        <is>
          <t>Claude</t>
        </is>
      </c>
      <c r="H117" s="9" t="inlineStr">
        <is>
          <t>arquitetura-equipe-e-permissoes.md, aviso final</t>
        </is>
      </c>
      <c r="I117" s="9" t="inlineStr">
        <is>
          <t>Conferido: o hook falhava ABERTO (erro → null → regra do avaliado → botão aparecia). Agora falha fechado. ⚠️ Continua sendo trava de interface: o relatório abre por link e o download é window.print(). Fechar de verdade = pedir login para ver relatório, decisão sua.</t>
        </is>
      </c>
    </row>
    <row r="118">
      <c r="A118" s="9" t="n">
        <v>117</v>
      </c>
      <c r="B118" s="9" t="inlineStr">
        <is>
          <t>Cadeado e áreas sem teste com login de aluno real</t>
        </is>
      </c>
      <c r="C118" s="9" t="inlineStr">
        <is>
          <t>A verificação foi pela prévia 'ver como aluno' mais o predicado do banco; as policies com auth.uid() de aluno não foram exercitadas.</t>
        </is>
      </c>
      <c r="D118" s="9" t="inlineStr">
        <is>
          <t>Academy</t>
        </is>
      </c>
      <c r="E118" s="9" t="inlineStr">
        <is>
          <t>Concluído</t>
        </is>
      </c>
      <c r="F118" s="9" t="n">
        <v>117</v>
      </c>
      <c r="G118" s="9" t="inlineStr">
        <is>
          <t>Claude</t>
        </is>
      </c>
      <c r="H118" s="9" t="inlineStr">
        <is>
          <t>feature-cadeado-e-areas-do-grupo.md § Como testei</t>
        </is>
      </c>
      <c r="I118" s="9" t="inlineStr">
        <is>
          <t>TESTADO COM ALUNO DE VERDADE (conta zz.aluno.teste, criada e apagada). Achou 2 bugs graves, ambos corrigidos: o aluno caía no painel do mentor, e não lia o próprio grupo.</t>
        </is>
      </c>
    </row>
    <row r="119">
      <c r="A119" s="9" t="n">
        <v>118</v>
      </c>
      <c r="B119" s="9" t="inlineStr">
        <is>
          <t>Ranking: caso do aluno não exercitado com login real</t>
        </is>
      </c>
      <c r="C119" s="9" t="inlineStr">
        <is>
          <t>A correção da conta em que o ponto nasce foi testada pelo mesmo código, mas pela conta do dono.</t>
        </is>
      </c>
      <c r="D119" s="9" t="inlineStr">
        <is>
          <t>Comunidade</t>
        </is>
      </c>
      <c r="E119" s="9" t="inlineStr">
        <is>
          <t>Concluído</t>
        </is>
      </c>
      <c r="F119" s="9" t="n">
        <v>118</v>
      </c>
      <c r="G119" s="9" t="inlineStr">
        <is>
          <t>Claude</t>
        </is>
      </c>
      <c r="H119" s="9" t="inlineStr">
        <is>
          <t>estado-atual-e-fila.md, aviso após a lista do ranking</t>
        </is>
      </c>
      <c r="I119" s="9" t="inlineStr">
        <is>
          <t>Testado com login real da aluna Gabriela Inácio Botelho (não com a conta do dono). O professor concluiu uma sessão de mentoria dela; a linha gerada em `pontos` tem user_id = Gabriela (quem ganhou o ponto) e mentor_id = b676892d, a conta do dono — não uma conta da própria Gabriela. Conferido direto no banco via REST, com service role, não só pela tela.</t>
        </is>
      </c>
    </row>
    <row r="120">
      <c r="A120" s="9" t="n">
        <v>119</v>
      </c>
      <c r="B120" s="9" t="inlineStr">
        <is>
          <t>Cadeado da Academy: trilha liberada por pessoa e grupo</t>
        </is>
      </c>
      <c r="C120" s="9" t="inlineStr">
        <is>
          <t>O professor escolhe quem abre cada trilha; quem não foi escolhido vê o card em cinza com cadeado e motivo, e a tranca vale no banco.</t>
        </is>
      </c>
      <c r="D120" s="9" t="inlineStr">
        <is>
          <t>Academy</t>
        </is>
      </c>
      <c r="E120" s="9" t="inlineStr">
        <is>
          <t>Concluído</t>
        </is>
      </c>
      <c r="F120" s="9" t="n">
        <v>119</v>
      </c>
      <c r="G120" s="9" t="inlineStr">
        <is>
          <t>Claude</t>
        </is>
      </c>
      <c r="H120" s="9" t="inlineStr">
        <is>
          <t>feature-cadeado-e-areas-do-grupo.md § 1 · git log 31ee5bd</t>
        </is>
      </c>
      <c r="I120" s="9" t="inlineStr">
        <is>
          <t>Testado com aluno real: trilha sem destino em 'Disponíveis'; trilha mirada em outro grupo em 'Ainda não liberadas', com cadeado; as AULAS dela não vieram na resposta da API.</t>
        </is>
      </c>
    </row>
    <row r="121">
      <c r="A121" s="9" t="n">
        <v>120</v>
      </c>
      <c r="B121" s="9" t="inlineStr">
        <is>
          <t>Pontuação e ranking do grupo</t>
        </is>
      </c>
      <c r="C121" s="9" t="inlineStr">
        <is>
          <t>Pesos por esforço (aula 20, devolutiva 15, publicar 8, perfil 5, comentar 2, curtir 1) com teto diário nas ações baratas.</t>
        </is>
      </c>
      <c r="D121" s="9" t="inlineStr">
        <is>
          <t>Comunidade</t>
        </is>
      </c>
      <c r="E121" s="9" t="inlineStr">
        <is>
          <t>Concluído</t>
        </is>
      </c>
      <c r="F121" s="9" t="n">
        <v>120</v>
      </c>
      <c r="G121" s="9" t="inlineStr">
        <is>
          <t>Claude</t>
        </is>
      </c>
      <c r="H121" s="9" t="inlineStr">
        <is>
          <t>docs/plano-area-do-aluno.md § 4 e Tabela de pontos · fila-area-do-aluno.md tabela linha 20 · git log 5cd972d</t>
        </is>
      </c>
      <c r="I121" s="9" t="inlineStr">
        <is>
          <t>Testado com login real da aluna Gabriela. Peso da devolutiva (mentoria) conferido na prática: 15 pts, bate com a tabela. Ranking do grupo Turma Teste ordena certo (total decrescente, empate por nome) e Gabriela passou a aparecer nele depois de pontuar — antes só tinha quem nunca tinha sido testado com aluno de verdade. Peso da comunidade (16 pts/dia) testado na prática em #121; os demais pesos (aula 20, publicar 8, perfil 5, comentar 2, curtir 1) conferidos no código de pontos.functions.ts.</t>
        </is>
      </c>
    </row>
    <row r="122">
      <c r="A122" s="9" t="n">
        <v>121</v>
      </c>
      <c r="B122" s="9" t="inlineStr">
        <is>
          <t>Três defeitos do ranking corrigidos</t>
        </is>
      </c>
      <c r="C122" s="9" t="inlineStr">
        <is>
          <t>Devolutiva nunca pontuava, contaDaPessoa gravava na conta errada para aluno, e o teto da comunidade virou 16 pts/dia com virada à meia-noite de Brasília.</t>
        </is>
      </c>
      <c r="D122" s="9" t="inlineStr">
        <is>
          <t>Comunidade</t>
        </is>
      </c>
      <c r="E122" s="9" t="inlineStr">
        <is>
          <t>Concluído</t>
        </is>
      </c>
      <c r="F122" s="9" t="n">
        <v>121</v>
      </c>
      <c r="G122" s="9" t="inlineStr">
        <is>
          <t>Claude</t>
        </is>
      </c>
      <c r="H122" s="9" t="inlineStr">
        <is>
          <t>estado-atual-e-fila.md lista numerada 1-3</t>
        </is>
      </c>
      <c r="I122" s="9" t="inlineStr">
        <is>
          <t>Os 3 testados com login real (aluna Gabriela + professor), não com a conta do dono. (a) Devolutiva pontua: sessão de mentoria concluída gerou 15 pts. (b) Conta certa: o ponto da aluna nasceu na conta do mentor, não na dela — mesmo teste do #118. (c) Teto de 16 pts/dia: 2 publicações (8+8=16) pontuaram; a 3ª ação de comunidade (curtida) foi aceita normalmente mas não pontuou (16+1&gt;16) — confirmado no banco (a curtida existe em community_reactions, o ponto correspondente não existe em pontos). Bônus: presença de aula (20 pts) marcada com a comunidade já no teto, e pontuou normalmente — confirma que aula e devolutiva não entram nesse teto. Ressalva: o reset à meia-noite de Brasília foi conferido lendo o código (usa fuso America/Sao_Paulo, não a meia-noite do servidor) — não foi possível testar esperando a virada real do relógio dentro da sessão.</t>
        </is>
      </c>
    </row>
    <row r="123">
      <c r="A123" s="9" t="n">
        <v>122</v>
      </c>
      <c r="B123" s="9" t="inlineStr">
        <is>
          <t>Área do aluno com login do avaliado</t>
        </is>
      </c>
      <c r="C123" s="9" t="inlineStr">
        <is>
          <t>people.user_id liga o cadastro a auth.users e claim_student_profile() casa por e-mail; em /aluno o avaliado vê os próprios testes e trilhas.</t>
        </is>
      </c>
      <c r="D123" s="9" t="inlineStr">
        <is>
          <t>Plataforma</t>
        </is>
      </c>
      <c r="E123" s="9" t="inlineStr">
        <is>
          <t>Concluído</t>
        </is>
      </c>
      <c r="F123" s="9" t="n">
        <v>122</v>
      </c>
      <c r="G123" s="9" t="inlineStr">
        <is>
          <t>Claude</t>
        </is>
      </c>
      <c r="H123" s="9" t="inlineStr">
        <is>
          <t>roadmap-proximas-features.md item 5 · feature-educacao-e-area-do-aluno.md · git log c8df882</t>
        </is>
      </c>
      <c r="I123" s="9" t="inlineStr">
        <is>
          <t>Testado ponta a ponta com login real. Achou o bug do redirecionamento (aluno via o painel do mentor) — corrigido.</t>
        </is>
      </c>
    </row>
    <row r="124">
      <c r="A124" s="9" t="n">
        <v>123</v>
      </c>
      <c r="B124" s="9" t="inlineStr">
        <is>
          <t>Áreas do painel do aluno por grupo</t>
        </is>
      </c>
      <c r="C124" s="9" t="inlineStr">
        <is>
          <t>groups.areas_aluno define os menus que o aluno vê; NULL = tudo, união entre grupos, e a tranca vale nas policies.</t>
        </is>
      </c>
      <c r="D124" s="9" t="inlineStr">
        <is>
          <t>Plataforma</t>
        </is>
      </c>
      <c r="E124" s="9" t="inlineStr">
        <is>
          <t>Concluído</t>
        </is>
      </c>
      <c r="F124" s="9" t="n">
        <v>123</v>
      </c>
      <c r="G124" s="9" t="inlineStr">
        <is>
          <t>Claude</t>
        </is>
      </c>
      <c r="H124" s="9" t="inlineStr">
        <is>
          <t>feature-cadeado-e-areas-do-grupo.md § 2 · git log b156b8c</t>
        </is>
      </c>
      <c r="I124" s="9" t="inlineStr">
        <is>
          <t>Testado com aluno real: grupo com academy+resultados deixou o menu com 3 itens; /aluno/comunidade e /aluno/ranking digitados à mão caíram na tela de sem acesso; classroom, agenda e devolutivas voltaram vazios do banco.</t>
        </is>
      </c>
    </row>
    <row r="125">
      <c r="A125" s="9" t="n">
        <v>124</v>
      </c>
      <c r="B125" s="9" t="inlineStr">
        <is>
          <t>Planilha de gestão das demandas em Kanban, atualizada em tempo real</t>
        </is>
      </c>
      <c r="C125" s="9" t="inlineStr">
        <is>
          <t>Último pedido dele na sessão de 30/07: transformar a tabela de demandas numa planilha do Google no formato Kanban — planejado / em andamento / concluído / precisa de melhorias — e mantê-la atualizada em tempo real. É o trabalho qu</t>
        </is>
      </c>
      <c r="D125" s="9" t="inlineStr">
        <is>
          <t>Gestão do projeto</t>
        </is>
      </c>
      <c r="E125" s="9" t="inlineStr">
        <is>
          <t>Concluído</t>
        </is>
      </c>
      <c r="F125" s="9" t="n">
        <v>124</v>
      </c>
      <c r="G125" s="9" t="inlineStr">
        <is>
          <t>Claude</t>
        </is>
      </c>
      <c r="H125" s="9" t="inlineStr">
        <is>
          <t>Última mensagem dele na sessão c23c62de (30/07): "Você consegue transformar essa tabela em Excel em uma planil</t>
        </is>
      </c>
      <c r="I125" s="9" t="inlineStr">
        <is>
          <t>Conferido: planilha no ar (docs.google.com/…/1GNuzeYp8…), fonte em scripts/kanban_dados.json. Testado: mudar o Status move o cartão de coluna e as contagens acompanham.</t>
        </is>
      </c>
    </row>
    <row r="126">
      <c r="A126" s="9" t="n">
        <v>125</v>
      </c>
      <c r="B126" s="9" t="inlineStr">
        <is>
          <t>"Aula cancelada" existe no banco e não tem botão</t>
        </is>
      </c>
      <c r="C126" s="9" t="inlineStr">
        <is>
          <t>A coluna treinamento_aulas.cancelada foi criada na migração 20260730170000_classroom_presenca.sql e já é respeitada nos cálculos (aula cancelada sai do denominador da frequência, src/lib/presenca.ts:118 e presenca.server.ts:279).</t>
        </is>
      </c>
      <c r="D126" s="9" t="inlineStr">
        <is>
          <t>Classroom / Presença</t>
        </is>
      </c>
      <c r="E126" s="9" t="inlineStr">
        <is>
          <t>Concluído</t>
        </is>
      </c>
      <c r="F126" s="9" t="n">
        <v>125</v>
      </c>
      <c r="G126" s="9" t="inlineStr">
        <is>
          <t>Claude</t>
        </is>
      </c>
      <c r="H126" s="9" t="inlineStr">
        <is>
          <t>Mensagem de entrega da etapa 5 ("ganhou coluna no banco, mas ainda não tem botão"); verificado no código: nenh</t>
        </is>
      </c>
      <c r="I126" s="9" t="inlineStr">
        <is>
          <t>Conferido: cancelarAula em classroom.functions.ts + botão no AulaDialog. Testado na plataforma: cancelou, faixa apareceu, check-in sumiu, título riscado no índice; reativou e voltou.</t>
        </is>
      </c>
    </row>
    <row r="127">
      <c r="A127" s="9" t="n">
        <v>126</v>
      </c>
      <c r="B127" s="9" t="inlineStr">
        <is>
          <t>Academy: pastas de materiais com cadeado</t>
        </is>
      </c>
      <c r="C127" s="9" t="inlineStr">
        <is>
          <t>Criar pasta na Academy e colocar materiais dentro (PDFs, planilhas, imagens), agrupados por formato na tela. Material solto continua existindo. Pasta e material escolhem para quais pessoas/grupos aparecem liberados ou trancados.</t>
        </is>
      </c>
      <c r="D127" s="9" t="inlineStr">
        <is>
          <t>Academy</t>
        </is>
      </c>
      <c r="E127" s="9" t="inlineStr">
        <is>
          <t>Concluído</t>
        </is>
      </c>
      <c r="F127" s="9" t="n">
        <v>126</v>
      </c>
      <c r="G127" s="9" t="inlineStr">
        <is>
          <t>Claude</t>
        </is>
      </c>
      <c r="H127" s="9" t="inlineStr">
        <is>
          <t>pedido dele, 30/07/2026, nesta sessão</t>
        </is>
      </c>
      <c r="I127" s="9" t="inlineStr">
        <is>
          <t>Conferido: migração 20260730220000 + biblioteca.tsx. Testado: pasta criada, material movido para dentro (agrupado por formato), pasta trancada para um grupo — na prévia o aluno de fora vê cadeado e o material some; o de dentro vê tudo.</t>
        </is>
      </c>
    </row>
    <row r="128">
      <c r="A128" s="9" t="n">
        <v>127</v>
      </c>
      <c r="B128" s="9" t="inlineStr">
        <is>
          <t>Botão único 'Criar' com sub-botões na Academy</t>
        </is>
      </c>
      <c r="C128" s="9" t="inlineStr">
        <is>
          <t>Trocar '+ Nova trilha' por um botão 'Criar' que abre sub-botões recolhíveis: Criar trilha, Criar material, Criar pasta. Em vez de três botões soltos.</t>
        </is>
      </c>
      <c r="D128" s="9" t="inlineStr">
        <is>
          <t>Academy</t>
        </is>
      </c>
      <c r="E128" s="9" t="inlineStr">
        <is>
          <t>Concluído</t>
        </is>
      </c>
      <c r="F128" s="9" t="n">
        <v>127</v>
      </c>
      <c r="G128" s="9" t="inlineStr">
        <is>
          <t>Claude</t>
        </is>
      </c>
      <c r="H128" s="9" t="inlineStr">
        <is>
          <t>pedido dele, 30/07/2026, nesta sessão</t>
        </is>
      </c>
      <c r="I128" s="9" t="inlineStr">
        <is>
          <t>Conferido: DropdownMenu em _app.educacao.index.tsx com trilha/pasta/material/banner. Testado na plataforma. De quebra consertou o cabeçalho, que engolia banners e biblioteca no mesmo flex.</t>
        </is>
      </c>
    </row>
    <row r="129">
      <c r="A129" s="9" t="n">
        <v>128</v>
      </c>
      <c r="B129" s="9" t="inlineStr">
        <is>
          <t>Aba Devolutivas dentro da tela do grupo</t>
        </is>
      </c>
      <c r="C129" s="9" t="inlineStr">
        <is>
          <t>Fila, agendar, registrar e painel filtrados por aquele grupo, para o dono e para o mentor com permissão.</t>
        </is>
      </c>
      <c r="D129" s="9" t="inlineStr">
        <is>
          <t>Agenda</t>
        </is>
      </c>
      <c r="E129" s="9" t="inlineStr">
        <is>
          <t>Concluído</t>
        </is>
      </c>
      <c r="F129" s="9" t="n">
        <v>128</v>
      </c>
      <c r="G129" s="9" t="inlineStr">
        <is>
          <t>Claude</t>
        </is>
      </c>
      <c r="H129" s="9" t="inlineStr">
        <is>
          <t>docs/plano-area-do-aluno.md § Anexo 1 plano E · git log 10f1dc2</t>
        </is>
      </c>
      <c r="I129" s="9" t="inlineStr">
        <is>
          <t>Conferido: /Users/matheusguedescarneiro/Documents/persona-compass-suite/src/routes/_app.grupos.$id.tsx:148 (`&lt;TabsTrigger value="devolutivas"&gt;`) e :259 (`&lt;DevolutivasPage groupId={id} /&gt;`); a</t>
        </is>
      </c>
    </row>
    <row r="130">
      <c r="A130" s="9" t="n">
        <v>129</v>
      </c>
      <c r="B130" s="9" t="inlineStr">
        <is>
          <t>Aba Relatórios no perfil da pessoa</t>
        </is>
      </c>
      <c r="C130" s="9" t="inlineStr">
        <is>
          <t>Cada bateria vira uma linha e avulsos viram linhas próprias, com status Concluído / Parcial / Pendente.</t>
        </is>
      </c>
      <c r="D130" s="9" t="inlineStr">
        <is>
          <t>Relatórios</t>
        </is>
      </c>
      <c r="E130" s="9" t="inlineStr">
        <is>
          <t>Concluído</t>
        </is>
      </c>
      <c r="F130" s="9" t="n">
        <v>129</v>
      </c>
      <c r="G130" s="9" t="inlineStr">
        <is>
          <t>Claude</t>
        </is>
      </c>
      <c r="H130" s="9" t="inlineStr">
        <is>
          <t>roadmap-proximas-features.md item 3 · git log 3e29aee</t>
        </is>
      </c>
      <c r="I130" s="9" t="inlineStr">
        <is>
          <t>Conferido: src/routes/_app.pessoas.$id.tsx:145 (aba "Relatórios" com contagem) e linha 203 (`item.done === item.total ? "Concluído" : item.done &gt; 0 ? "Parcial" : "Pendente"`); o montador que</t>
        </is>
      </c>
    </row>
    <row r="131">
      <c r="A131" s="9" t="n">
        <v>130</v>
      </c>
      <c r="B131" s="9" t="inlineStr">
        <is>
          <t>Academy (LMS de trilhas, módulos e aulas)</t>
        </is>
      </c>
      <c r="C131" s="9" t="inlineStr">
        <is>
          <t>learning_tracks → modules → lessons → materials + progress; decisão dele: vídeo só por link do YouTube e material por link externo.</t>
        </is>
      </c>
      <c r="D131" s="9" t="inlineStr">
        <is>
          <t>Academy</t>
        </is>
      </c>
      <c r="E131" s="9" t="inlineStr">
        <is>
          <t>Concluído</t>
        </is>
      </c>
      <c r="F131" s="9" t="n">
        <v>130</v>
      </c>
      <c r="G131" s="9" t="inlineStr">
        <is>
          <t>Claude</t>
        </is>
      </c>
      <c r="H131" s="9" t="inlineStr">
        <is>
          <t>feature-educacao-e-area-do-aluno.md · git log c8df882</t>
        </is>
      </c>
      <c r="I131" s="9" t="inlineStr">
        <is>
          <t>Conferido: supabase/migrations/20260728050000_educacao_e_area_do_aluno.sql — learning_tracks (75), learning_modules (89), learning_lessons (101), learning_materials (116), learning_progress (</t>
        </is>
      </c>
    </row>
    <row r="132">
      <c r="A132" s="9" t="n">
        <v>131</v>
      </c>
      <c r="B132" s="9" t="inlineStr">
        <is>
          <t>Academy: banners rotativos no topo</t>
        </is>
      </c>
      <c r="C132" s="9" t="inlineStr">
        <is>
          <t>Item G-2: banners JPG/PNG com link, que o master adiciona, remove e ordena.</t>
        </is>
      </c>
      <c r="D132" s="9" t="inlineStr">
        <is>
          <t>Academy</t>
        </is>
      </c>
      <c r="E132" s="9" t="inlineStr">
        <is>
          <t>Concluído</t>
        </is>
      </c>
      <c r="F132" s="9" t="n">
        <v>131</v>
      </c>
      <c r="G132" s="9" t="inlineStr">
        <is>
          <t>Claude</t>
        </is>
      </c>
      <c r="H132" s="9" t="inlineStr">
        <is>
          <t>docs/plano-demandas-30-07.md § G item 2 · git log 17eb36f</t>
        </is>
      </c>
      <c r="I132" s="9" t="inlineStr">
        <is>
          <t>Conferido: supabase/migrations/20260730130000_academy_banners.sql (tabela `academy_banners` com ordem, ativo, link_url; escrita só para `mentor_id = auth.uid()`) + /Users/matheusguedescarneir</t>
        </is>
      </c>
    </row>
    <row r="133">
      <c r="A133" s="9" t="n">
        <v>132</v>
      </c>
      <c r="B133" s="9" t="inlineStr">
        <is>
          <t>Academy: biblioteca de materiais</t>
        </is>
      </c>
      <c r="C133" s="9" t="inlineStr">
        <is>
          <t>Item G-1: materiais soltos fora de aula, com categoria e busca; depois ganhou upload de arquivo até 25 MB e capa.</t>
        </is>
      </c>
      <c r="D133" s="9" t="inlineStr">
        <is>
          <t>Academy</t>
        </is>
      </c>
      <c r="E133" s="9" t="inlineStr">
        <is>
          <t>Concluído</t>
        </is>
      </c>
      <c r="F133" s="9" t="n">
        <v>132</v>
      </c>
      <c r="G133" s="9" t="inlineStr">
        <is>
          <t>Claude</t>
        </is>
      </c>
      <c r="H133" s="9" t="inlineStr">
        <is>
          <t>docs/plano-demandas-30-07.md § G item 1 · git log ee83b00 · git log f5107e9</t>
        </is>
      </c>
      <c r="I133" s="9" t="inlineStr">
        <is>
          <t>Conferido: supabase/migrations/20260730090000_biblioteca.sql (tabela `biblioteca_materiais` com categoria e RLS de leitura para a conta inteira) + supabase/migrations/20260730110000_bibliotec</t>
        </is>
      </c>
    </row>
    <row r="134">
      <c r="A134" s="9" t="n">
        <v>133</v>
      </c>
      <c r="B134" s="9" t="inlineStr">
        <is>
          <t>Agenda no painel do aluno</t>
        </is>
      </c>
      <c r="C134" s="9" t="inlineStr">
        <is>
          <t>Item E: a Agenda entra no menu lateral do aluno, mostrando só os compromissos dele.</t>
        </is>
      </c>
      <c r="D134" s="9" t="inlineStr">
        <is>
          <t>Agenda</t>
        </is>
      </c>
      <c r="E134" s="9" t="inlineStr">
        <is>
          <t>Concluído</t>
        </is>
      </c>
      <c r="F134" s="9" t="n">
        <v>133</v>
      </c>
      <c r="G134" s="9" t="inlineStr">
        <is>
          <t>Claude</t>
        </is>
      </c>
      <c r="H134" s="9" t="inlineStr">
        <is>
          <t>docs/plano-demandas-30-07.md § E · docs/plano-menu-gestao.md § Etapa 2 · git log e38d473</t>
        </is>
      </c>
      <c r="I134" s="9" t="inlineStr">
        <is>
          <t>Conferido: /Users/matheusguedescarneiro/Documents/persona-compass-suite/src/routes/aluno.agenda.tsx (rota existe) + src/routes/aluno.tsx:43 (item NAV "Agenda", area: "agenda")</t>
        </is>
      </c>
    </row>
    <row r="135">
      <c r="A135" s="9" t="n">
        <v>134</v>
      </c>
      <c r="B135" s="9" t="inlineStr">
        <is>
          <t>Aluno editando os próprios dados</t>
        </is>
      </c>
      <c r="C135" s="9" t="inlineStr">
        <is>
          <t>/aluno/perfil grava nome, telefone e foto em people via update_my_person (SECURITY DEFINER).</t>
        </is>
      </c>
      <c r="D135" s="9" t="inlineStr">
        <is>
          <t>Plataforma</t>
        </is>
      </c>
      <c r="E135" s="9" t="inlineStr">
        <is>
          <t>Concluído</t>
        </is>
      </c>
      <c r="F135" s="9" t="n">
        <v>134</v>
      </c>
      <c r="G135" s="9" t="inlineStr">
        <is>
          <t>Claude</t>
        </is>
      </c>
      <c r="H135" s="9" t="inlineStr">
        <is>
          <t>feature-tema-fotos-e-ver-como-aluno.md · git log 7b97f42</t>
        </is>
      </c>
      <c r="I135" s="9" t="inlineStr">
        <is>
          <t>Conferido: src/routes/aluno.perfil.tsx (231 linhas) + src/lib/student.functions.ts:119-134 (rpc update_my_person) + a função SECURITY DEFINER em supabase/migrations/20260729020000_fotos_e_dad</t>
        </is>
      </c>
    </row>
    <row r="136">
      <c r="A136" s="9" t="n">
        <v>135</v>
      </c>
      <c r="B136" s="9" t="inlineStr">
        <is>
          <t>Atraso, situação e frequência calculados, não guardados</t>
        </is>
      </c>
      <c r="C136" s="9" t="inlineStr">
        <is>
          <t>Derivados do horário da aula e dos check-ins; guardar criaria três lugares para o mesmo fato divergir.</t>
        </is>
      </c>
      <c r="D136" s="9" t="inlineStr">
        <is>
          <t>Classroom</t>
        </is>
      </c>
      <c r="E136" s="9" t="inlineStr">
        <is>
          <t>Concluído</t>
        </is>
      </c>
      <c r="F136" s="9" t="n">
        <v>135</v>
      </c>
      <c r="G136" s="9" t="inlineStr">
        <is>
          <t>Claude</t>
        </is>
      </c>
      <c r="H136" s="9" t="inlineStr">
        <is>
          <t>docs/analise-classroom.md § A tabela de presença — definitiva</t>
        </is>
      </c>
      <c r="I136" s="9" t="inlineStr">
        <is>
          <t>Conferido: src/lib/presenca.ts — funções puras atrasoMin(), situacaoDe(), frequenciaDe(), aulaContaNaFrequencia(); nenhuma coluna correspondente nas migrações: 20260730170000 só acrescenta fe</t>
        </is>
      </c>
    </row>
    <row r="137">
      <c r="A137" s="9" t="n">
        <v>136</v>
      </c>
      <c r="B137" s="9" t="inlineStr">
        <is>
          <t>Atribuir grupos ao mentor pela ficha da pessoa</t>
        </is>
      </c>
      <c r="C137" s="9" t="inlineStr">
        <is>
          <t>Opção B: participar do grupo e acompanhar o grupo continuam separados, e a atribuição fica na ficha da pessoa.</t>
        </is>
      </c>
      <c r="D137" s="9" t="inlineStr">
        <is>
          <t>Infra</t>
        </is>
      </c>
      <c r="E137" s="9" t="inlineStr">
        <is>
          <t>Concluído</t>
        </is>
      </c>
      <c r="F137" s="9" t="n">
        <v>136</v>
      </c>
      <c r="G137" s="9" t="inlineStr">
        <is>
          <t>Claude</t>
        </is>
      </c>
      <c r="H137" s="9" t="inlineStr">
        <is>
          <t>mentor-participar-vs-acompanhar.md · fila-area-do-aluno.md linhas 25-28 · git log a87a9e0</t>
        </is>
      </c>
      <c r="I137" s="9" t="inlineStr">
        <is>
          <t>Conferido: /Users/matheusguedescarneiro/Documents/persona-compass-suite/src/routes/_app.pessoas.$id.tsx:7 (importa gruposDoMentor, definirGrupoDoMentor, idsDeMentores) e :425-500 (lista de gr</t>
        </is>
      </c>
    </row>
    <row r="138">
      <c r="A138" s="9" t="n">
        <v>137</v>
      </c>
      <c r="B138" s="9" t="inlineStr">
        <is>
          <t>Avaliação 360° com observadores</t>
        </is>
      </c>
      <c r="C138" s="9" t="inlineStr">
        <is>
          <t>Além da autoavaliação, observadores respondem sobre a pessoa e o relatório compara as duas visões.</t>
        </is>
      </c>
      <c r="D138" s="9" t="inlineStr">
        <is>
          <t>Testes</t>
        </is>
      </c>
      <c r="E138" s="9" t="inlineStr">
        <is>
          <t>Concluído</t>
        </is>
      </c>
      <c r="F138" s="9" t="n">
        <v>137</v>
      </c>
      <c r="G138" s="9" t="inlineStr">
        <is>
          <t>Claude</t>
        </is>
      </c>
      <c r="H138" s="9" t="inlineStr">
        <is>
          <t>CLAUDE.md § Estado atual · git log 499b093</t>
        </is>
      </c>
      <c r="I138" s="9" t="inlineStr">
        <is>
          <t>Conferido: src/lib/tests.functions.ts:546 createObserverInvite (kind='observer', parent_response_id); src/lib/report.server.ts:458-490 (seção "Percepção externa"); src/components/response-for</t>
        </is>
      </c>
    </row>
    <row r="139">
      <c r="A139" s="9" t="n">
        <v>138</v>
      </c>
      <c r="B139" s="9" t="inlineStr">
        <is>
          <t>BUG crítico: duplicar teste gerava dimensão órfã</t>
        </is>
      </c>
      <c r="C139" s="9" t="inlineStr">
        <is>
          <t>duplicateTemplate não remapeava config.dimension_id; o Big Five duplicado zerava tudo e o relatório lia 0 como 'baixo'.</t>
        </is>
      </c>
      <c r="D139" s="9" t="inlineStr">
        <is>
          <t>Testes</t>
        </is>
      </c>
      <c r="E139" s="9" t="inlineStr">
        <is>
          <t>Concluído</t>
        </is>
      </c>
      <c r="F139" s="9" t="n">
        <v>138</v>
      </c>
      <c r="G139" s="9" t="inlineStr">
        <is>
          <t>Claude</t>
        </is>
      </c>
      <c r="H139" s="9" t="inlineStr">
        <is>
          <t>bug-duplicar-dimension-orfa.md</t>
        </is>
      </c>
      <c r="I139" s="9" t="inlineStr">
        <is>
          <t>Conferido: src/lib/tests.functions.ts:167-179 (helper remapQuestionConfig reescreve config.dimension_id via dimMap e zera quando não há correspondência, em vez de manter id de outra versão) a</t>
        </is>
      </c>
    </row>
    <row r="140">
      <c r="A140" s="9" t="n">
        <v>139</v>
      </c>
      <c r="B140" s="9" t="inlineStr">
        <is>
          <t>BUG: policy de SELECT autorreferente quebra INSERT</t>
        </is>
      </c>
      <c r="C140" s="9" t="inlineStr">
        <is>
          <t>Quatro aparições (learning_tracks, groups, community_posts, community_post_groups); corrigido na migração 20260729010000.</t>
        </is>
      </c>
      <c r="D140" s="9" t="inlineStr">
        <is>
          <t>Infra</t>
        </is>
      </c>
      <c r="E140" s="9" t="inlineStr">
        <is>
          <t>Concluído</t>
        </is>
      </c>
      <c r="F140" s="9" t="n">
        <v>139</v>
      </c>
      <c r="G140" s="9" t="inlineStr">
        <is>
          <t>Claude</t>
        </is>
      </c>
      <c r="H140" s="9" t="inlineStr">
        <is>
          <t>bug-policy-autoreferente-insert-returning.md</t>
        </is>
      </c>
      <c r="I140" s="9" t="inlineStr">
        <is>
          <t>Varredura completa do Claude Code, 03/08 (11 áreas, 237 demandas), cruzada com a varredura independente do chat. O conserto continua válido; só o nome do artefato citado mudou em renomeações posteriores.</t>
        </is>
      </c>
    </row>
    <row r="141">
      <c r="A141" s="9" t="n">
        <v>140</v>
      </c>
      <c r="B141" s="9" t="inlineStr">
        <is>
          <t>Bateria de testes com link único</t>
        </is>
      </c>
      <c r="C141" s="9" t="inlineStr">
        <is>
          <t>Vários inventários enviados num link só (assessment_responses), com relatório unificado no fim.</t>
        </is>
      </c>
      <c r="D141" s="9" t="inlineStr">
        <is>
          <t>Testes</t>
        </is>
      </c>
      <c r="E141" s="9" t="inlineStr">
        <is>
          <t>Concluído</t>
        </is>
      </c>
      <c r="F141" s="9" t="n">
        <v>140</v>
      </c>
      <c r="G141" s="9" t="inlineStr">
        <is>
          <t>Claude</t>
        </is>
      </c>
      <c r="H141" s="9" t="inlineStr">
        <is>
          <t>CLAUDE.md § Estado atual · git log 4a62680</t>
        </is>
      </c>
      <c r="I141" s="9" t="inlineStr">
        <is>
          <t>Conferido: src/routes/bateria.$assessmentId.tsx + src/routes/api.public.assessment.$id.ts + startAssessment em src/lib/tests.functions.ts:579-660 + geração pelo link aberto em src/routes/api.</t>
        </is>
      </c>
    </row>
    <row r="142">
      <c r="A142" s="9" t="n">
        <v>141</v>
      </c>
      <c r="B142" s="9" t="inlineStr">
        <is>
          <t>Big Five reescrito com 50 itens</t>
        </is>
      </c>
      <c r="C142" s="9" t="inlineStr">
        <is>
          <t>10 itens por traço, metade invertidos, com pares de checagem — o conjunto anterior era todo positivo e inflava os cinco traços.</t>
        </is>
      </c>
      <c r="D142" s="9" t="inlineStr">
        <is>
          <t>Conteúdo</t>
        </is>
      </c>
      <c r="E142" s="9" t="inlineStr">
        <is>
          <t>Concluído</t>
        </is>
      </c>
      <c r="F142" s="9" t="n">
        <v>141</v>
      </c>
      <c r="G142" s="9" t="inlineStr">
        <is>
          <t>Claude</t>
        </is>
      </c>
      <c r="H142" s="9" t="inlineStr">
        <is>
          <t>git log 1eed990</t>
        </is>
      </c>
      <c r="I142" s="9" t="inlineStr">
        <is>
          <t>Varredura completa do Claude Code, 03/08 (11 áreas, 237 demandas), cruzada com a varredura independente do chat. Tudo bate, exceto a contagem: a prova diz 19 pares de checagem, o real é 18.</t>
        </is>
      </c>
    </row>
    <row r="143">
      <c r="A143" s="9" t="n">
        <v>142</v>
      </c>
      <c r="B143" s="9" t="inlineStr">
        <is>
          <t>Bloco 'o que ficou combinado na devolutiva anterior'</t>
        </is>
      </c>
      <c r="C143" s="9" t="inlineStr">
        <is>
          <t>Puxado do registro da devolutiva anterior, dentro do painel de resultados.</t>
        </is>
      </c>
      <c r="D143" s="9" t="inlineStr">
        <is>
          <t>Relatórios</t>
        </is>
      </c>
      <c r="E143" s="9" t="inlineStr">
        <is>
          <t>Concluído</t>
        </is>
      </c>
      <c r="F143" s="9" t="n">
        <v>142</v>
      </c>
      <c r="G143" s="9" t="inlineStr">
        <is>
          <t>Claude</t>
        </is>
      </c>
      <c r="H143" s="9" t="inlineStr">
        <is>
          <t>docs/plano-painel-devolutiva.md § 4 Fase 1</t>
        </is>
      </c>
      <c r="I143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44">
      <c r="A144" s="9" t="n">
        <v>143</v>
      </c>
      <c r="B144" s="9" t="inlineStr">
        <is>
          <t>Bug do fuso ao remarcar devolutiva</t>
        </is>
      </c>
      <c r="C144" s="9" t="inlineStr">
        <is>
          <t>Remarcar mexendo só no dia movia o compromisso 3 horas; dado errado e calado num campo de uso semanal.</t>
        </is>
      </c>
      <c r="D144" s="9" t="inlineStr">
        <is>
          <t>Agenda</t>
        </is>
      </c>
      <c r="E144" s="9" t="inlineStr">
        <is>
          <t>Concluído</t>
        </is>
      </c>
      <c r="F144" s="9" t="n">
        <v>143</v>
      </c>
      <c r="G144" s="9" t="inlineStr">
        <is>
          <t>Claude</t>
        </is>
      </c>
      <c r="H144" s="9" t="inlineStr">
        <is>
          <t>docs/plano-demandas-30-07.md § Decisões, item 5 · estado-atual-e-fila.md § O que fazer a seguir · git log 120d</t>
        </is>
      </c>
      <c r="I144" s="9" t="inlineStr">
        <is>
          <t>Varredura completa do Claude Code, 03/08 (11 áreas, 237 demandas), cruzada com a varredura independente do chat. ÓRFÃ: o objeto desta demanda (a tela que usava a correção de fuso) foi apagado em 31/07, quando o menu Mentorias substituiu Devolutivas. Não há mais o que fazer nem o que decidir. Registro mantido para o histórico não mentir sobre o que já foi planejado.</t>
        </is>
      </c>
    </row>
    <row r="145">
      <c r="A145" s="9" t="n">
        <v>144</v>
      </c>
      <c r="B145" s="9" t="inlineStr">
        <is>
          <t>Cadastro pelo link para quem chega sem conta</t>
        </is>
      </c>
      <c r="C145" s="9" t="inlineStr">
        <is>
          <t>Quem recebe o link e não tem conta cria uma (nome, telefone, e-mail e senha); o cadastro é oferecido no fim do teste.</t>
        </is>
      </c>
      <c r="D145" s="9" t="inlineStr">
        <is>
          <t>Infra</t>
        </is>
      </c>
      <c r="E145" s="9" t="inlineStr">
        <is>
          <t>Concluído</t>
        </is>
      </c>
      <c r="F145" s="9" t="n">
        <v>144</v>
      </c>
      <c r="G145" s="9" t="inlineStr">
        <is>
          <t>Claude</t>
        </is>
      </c>
      <c r="H145" s="9" t="inlineStr">
        <is>
          <t>docs/plano-area-do-aluno.md § 1 item 1 · fila-area-do-aluno.md tabela linha 18 · git log 7376374</t>
        </is>
      </c>
      <c r="I145" s="9" t="inlineStr">
        <is>
          <t>Conferido: /Users/matheusguedescarneiro/Documents/persona-compass-suite/src/components/criar-conta-no-fim.tsx (campos nome e telefone, e-mail mascarado vindo do link) + src/lib/acesso-aluno.f</t>
        </is>
      </c>
    </row>
    <row r="146">
      <c r="A146" s="9" t="n">
        <v>145</v>
      </c>
      <c r="B146" s="9" t="inlineStr">
        <is>
          <t>Cancelar e excluir um envio</t>
        </is>
      </c>
      <c r="C146" s="9" t="inlineStr">
        <is>
          <t>Cancelar derruba o link mantendo o registro; excluir apaga tudo, com aviso do que se perde.</t>
        </is>
      </c>
      <c r="D146" s="9" t="inlineStr">
        <is>
          <t>Testes</t>
        </is>
      </c>
      <c r="E146" s="9" t="inlineStr">
        <is>
          <t>Concluído</t>
        </is>
      </c>
      <c r="F146" s="9" t="n">
        <v>145</v>
      </c>
      <c r="G146" s="9" t="inlineStr">
        <is>
          <t>Claude</t>
        </is>
      </c>
      <c r="H146" s="9" t="inlineStr">
        <is>
          <t>git log e14617c</t>
        </is>
      </c>
      <c r="I146" s="9" t="inlineStr">
        <is>
          <t>Conferido: src/components/acoes-do-envio.tsx (Cancelar reversível no menu, Excluir atrás de AlertDialog com aviso agravado quando já foi respondido) + src/lib/tests.functions.ts (as duas serv</t>
        </is>
      </c>
    </row>
    <row r="147">
      <c r="A147" s="9" t="n">
        <v>146</v>
      </c>
      <c r="B147" s="9" t="inlineStr">
        <is>
          <t>Classroom etapa 1 — estrutura treinamento/módulo/aula</t>
        </is>
      </c>
      <c r="C147" s="9" t="inlineStr">
        <is>
          <t>Cinco tabelas próprias (treinamento, módulo, aula, material e grupos com acesso) e a regra de quem enxerga o quê.</t>
        </is>
      </c>
      <c r="D147" s="9" t="inlineStr">
        <is>
          <t>Classroom</t>
        </is>
      </c>
      <c r="E147" s="9" t="inlineStr">
        <is>
          <t>Concluído</t>
        </is>
      </c>
      <c r="F147" s="9" t="n">
        <v>146</v>
      </c>
      <c r="G147" s="9" t="inlineStr">
        <is>
          <t>Claude</t>
        </is>
      </c>
      <c r="H147" s="9" t="inlineStr">
        <is>
          <t>docs/analise-classroom.md § Plano por etapas, etapa 1 · git log ef37965</t>
        </is>
      </c>
      <c r="I147" s="9" t="inlineStr">
        <is>
          <t>Conferido: supabase/migrations/20260730140000_classroom.sql — as cinco tabelas (treinamentos l.8, treinamento_modulos l.19, treinamento_aulas l.26, treinamento_materiais l.42, treinamento_gru</t>
        </is>
      </c>
    </row>
    <row r="148">
      <c r="A148" s="9" t="n">
        <v>147</v>
      </c>
      <c r="B148" s="9" t="inlineStr">
        <is>
          <t>Classroom etapa 2 — menu do master com CRUD</t>
        </is>
      </c>
      <c r="C148" s="9" t="inlineStr">
        <is>
          <t>Item Classroom na barra do dono, catálogo Publicados/Rascunhos e ficha do treinamento com data, horário, local, materiais e anotações.</t>
        </is>
      </c>
      <c r="D148" s="9" t="inlineStr">
        <is>
          <t>Classroom</t>
        </is>
      </c>
      <c r="E148" s="9" t="inlineStr">
        <is>
          <t>Concluído</t>
        </is>
      </c>
      <c r="F148" s="9" t="n">
        <v>147</v>
      </c>
      <c r="G148" s="9" t="inlineStr">
        <is>
          <t>Claude</t>
        </is>
      </c>
      <c r="H148" s="9" t="inlineStr">
        <is>
          <t>docs/analise-classroom.md § Plano por etapas, etapa 2 · estado-atual-e-fila.md § Classroom · git log 4f39471</t>
        </is>
      </c>
      <c r="I148" s="9" t="inlineStr">
        <is>
          <t>Conferido: src/components/app-sidebar.tsx:37 (item Classroom com soDono:true); src/routes/_app.classroom.index.tsx e _app.classroom.$treinamentoId.tsx; src/components/classroom-catalog.tsx (c</t>
        </is>
      </c>
    </row>
    <row r="149">
      <c r="A149" s="9" t="n">
        <v>148</v>
      </c>
      <c r="B149" s="9" t="inlineStr">
        <is>
          <t>Classroom etapa 3 — menu do aluno por grupo</t>
        </is>
      </c>
      <c r="C149" s="9" t="inlineStr">
        <is>
          <t>O aluno vê no painel só a trilha liberada para os grupos dele.</t>
        </is>
      </c>
      <c r="D149" s="9" t="inlineStr">
        <is>
          <t>Classroom</t>
        </is>
      </c>
      <c r="E149" s="9" t="inlineStr">
        <is>
          <t>Concluído</t>
        </is>
      </c>
      <c r="F149" s="9" t="n">
        <v>148</v>
      </c>
      <c r="G149" s="9" t="inlineStr">
        <is>
          <t>Claude</t>
        </is>
      </c>
      <c r="H149" s="9" t="inlineStr">
        <is>
          <t>docs/analise-classroom.md § Plano por etapas, etapa 3 · git log f13e284</t>
        </is>
      </c>
      <c r="I149" s="9" t="inlineStr">
        <is>
          <t>Conferido: src/routes/aluno.classroom.index.tsx e aluno.classroom.$treinamentoId.tsx; item na barra do aluno em src/routes/aluno.tsx:45; o recorte é da RLS, no ramo do aluno de posso_ver_trei</t>
        </is>
      </c>
    </row>
    <row r="150">
      <c r="A150" s="9" t="n">
        <v>149</v>
      </c>
      <c r="B150" s="9" t="inlineStr">
        <is>
          <t>Classroom etapa 4 — check-in por QR rotativo</t>
        </is>
      </c>
      <c r="C150" s="9" t="inlineStr">
        <is>
          <t>QR que muda a cada minuto com contador ao vivo, janela de validade, passe assinado de uso único e pré-voo de quem não tem senha.</t>
        </is>
      </c>
      <c r="D150" s="9" t="inlineStr">
        <is>
          <t>Classroom</t>
        </is>
      </c>
      <c r="E150" s="9" t="inlineStr">
        <is>
          <t>Concluído</t>
        </is>
      </c>
      <c r="F150" s="9" t="n">
        <v>149</v>
      </c>
      <c r="G150" s="9" t="inlineStr">
        <is>
          <t>Claude</t>
        </is>
      </c>
      <c r="H150" s="9" t="inlineStr">
        <is>
          <t>docs/analise-classroom.md § Plano por etapas, etapa 4 · estado-atual-e-fila.md § Check-in · git log 307c161 ·</t>
        </is>
      </c>
      <c r="I150" s="9" t="inlineStr">
        <is>
          <t>Conferido: src/lib/checkin.server.ts (BUCKET_SEGUNDOS=60, TOLERANCIA_BUCKETS=1, codigoDaAula por HMAC, passe assinado); src/components/checkin-professor.tsx (setInterval de 1s l.120, QRCode p</t>
        </is>
      </c>
    </row>
    <row r="151">
      <c r="A151" s="9" t="n">
        <v>150</v>
      </c>
      <c r="B151" s="9" t="inlineStr">
        <is>
          <t>Classroom etapa 5 — lista de presença com exportação</t>
        </is>
      </c>
      <c r="C151" s="9" t="inlineStr">
        <is>
          <t>As nove colunas aprovadas, marcação manual pelo professor, resumo por aluno, fechamento da aula e exportação em Excel e PDF.</t>
        </is>
      </c>
      <c r="D151" s="9" t="inlineStr">
        <is>
          <t>Classroom</t>
        </is>
      </c>
      <c r="E151" s="9" t="inlineStr">
        <is>
          <t>Concluído</t>
        </is>
      </c>
      <c r="F151" s="9" t="n">
        <v>150</v>
      </c>
      <c r="G151" s="9" t="inlineStr">
        <is>
          <t>Claude</t>
        </is>
      </c>
      <c r="H151" s="9" t="inlineStr">
        <is>
          <t>docs/analise-classroom.md § Plano por etapas, etapa 5 e § A tabela de presença · docs/analise-classroom.md § E</t>
        </is>
      </c>
      <c r="I151" s="9" t="inlineStr">
        <is>
          <t>Conferido: src/components/lista-de-presenca.tsx — as nove colunas exatas no &lt;thead&gt; l.212-220 (Aluno, Grupo, Chegada, Como foi registrada, Atraso, Situação, Frequência até esta aula, Observaç</t>
        </is>
      </c>
    </row>
    <row r="152">
      <c r="A152" s="9" t="n">
        <v>151</v>
      </c>
      <c r="B152" s="9" t="inlineStr">
        <is>
          <t>Classroom etapa 6 — presença valendo ponto</t>
        </is>
      </c>
      <c r="C152" s="9" t="inlineStr">
        <is>
          <t>Ação 'presenca' (20 pts) lançada no fechamento da lista, com ✅ verde na aula e 'você esteve em X de Y encontros'.</t>
        </is>
      </c>
      <c r="D152" s="9" t="inlineStr">
        <is>
          <t>Classroom</t>
        </is>
      </c>
      <c r="E152" s="9" t="inlineStr">
        <is>
          <t>Concluído</t>
        </is>
      </c>
      <c r="F152" s="9" t="n">
        <v>151</v>
      </c>
      <c r="G152" s="9" t="inlineStr">
        <is>
          <t>Claude</t>
        </is>
      </c>
      <c r="H152" s="9" t="inlineStr">
        <is>
          <t>docs/analise-classroom.md § Plano por etapas, etapa 6 · estado-atual-e-fila.md § Pontos · git log f665b79</t>
        </is>
      </c>
      <c r="I152" s="9" t="inlineStr">
        <is>
          <t>Conferido: src/lib/pontos.functions.ts:19 (presenca: 20 pts, rótulo 'Participar de um encontro presencial', sem teto diário); supabase/migrations/20260730180000_classroom_pontos.sql (ALTER do</t>
        </is>
      </c>
    </row>
    <row r="153">
      <c r="A153" s="9" t="n">
        <v>152</v>
      </c>
      <c r="B153" s="9" t="inlineStr">
        <is>
          <t>Comunidade por grupo, uma publicação em vários grupos</t>
        </is>
      </c>
      <c r="C153" s="9" t="inlineStr">
        <is>
          <t>Feed com texto, imagem, PDF, link, curtidas e comentários; o post pertence a vários grupos e quem está em mais de um vê tudo junto.</t>
        </is>
      </c>
      <c r="D153" s="9" t="inlineStr">
        <is>
          <t>Comunidade</t>
        </is>
      </c>
      <c r="E153" s="9" t="inlineStr">
        <is>
          <t>Concluído</t>
        </is>
      </c>
      <c r="F153" s="9" t="n">
        <v>152</v>
      </c>
      <c r="G153" s="9" t="inlineStr">
        <is>
          <t>Claude</t>
        </is>
      </c>
      <c r="H153" s="9" t="inlineStr">
        <is>
          <t>docs/plano-area-do-aluno.md § 3 · fila-area-do-aluno.md tabela linha 19 · git log 2088cd1 · git log 67037b9</t>
        </is>
      </c>
      <c r="I153" s="9" t="inlineStr">
        <is>
          <t>Conferido: supabase/migrations/20260729190000_comunidade_multi_grupo.sql (tabela `community_post_groups`) + 20260729180000_comunidade.sql + /Users/matheusguedescarneiro/Documents/persona-comp</t>
        </is>
      </c>
    </row>
    <row r="154">
      <c r="A154" s="9" t="n">
        <v>153</v>
      </c>
      <c r="B154" s="9" t="inlineStr">
        <is>
          <t>DNA do grupo</t>
        </is>
      </c>
      <c r="C154" s="9" t="inlineStr">
        <is>
          <t>Média real por dimensão entre os membros, separada por instrumento, agregando por key, com aviso de amostra menor que 3.</t>
        </is>
      </c>
      <c r="D154" s="9" t="inlineStr">
        <is>
          <t>Relatórios</t>
        </is>
      </c>
      <c r="E154" s="9" t="inlineStr">
        <is>
          <t>Concluído</t>
        </is>
      </c>
      <c r="F154" s="9" t="n">
        <v>153</v>
      </c>
      <c r="G154" s="9" t="inlineStr">
        <is>
          <t>Claude</t>
        </is>
      </c>
      <c r="H154" s="9" t="inlineStr">
        <is>
          <t>feature-dna-do-grupo.md · git log cbbf9d3</t>
        </is>
      </c>
      <c r="I154" s="9" t="inlineStr">
        <is>
          <t>Conferido: src/lib/data.functions.ts:486 (getGroupDna) + src/routes/_app.grupos.$id.tsx:440 (componente GroupDna) + commit cbbf9d3. Agrega por `key` da dimensão, um bloco por instrumento, e o</t>
        </is>
      </c>
    </row>
    <row r="155">
      <c r="A155" s="9" t="n">
        <v>154</v>
      </c>
      <c r="B155" s="9" t="inlineStr">
        <is>
          <t>Dashboard com indicador de todos os menus</t>
        </is>
      </c>
      <c r="C155" s="9" t="inlineStr">
        <is>
          <t>Frases de operação ('3 pessoas esperando devolutiva, a mais antiga há 12 dias') e ranking geral, em vez de números soltos.</t>
        </is>
      </c>
      <c r="D155" s="9" t="inlineStr">
        <is>
          <t>Plataforma</t>
        </is>
      </c>
      <c r="E155" s="9" t="inlineStr">
        <is>
          <t>Concluído</t>
        </is>
      </c>
      <c r="F155" s="9" t="n">
        <v>154</v>
      </c>
      <c r="G155" s="9" t="inlineStr">
        <is>
          <t>Claude</t>
        </is>
      </c>
      <c r="H155" s="9" t="inlineStr">
        <is>
          <t>fila-area-do-aluno.md linhas 25-28 · git log e022d1b</t>
        </is>
      </c>
      <c r="I155" s="9" t="inlineStr">
        <is>
          <t>Conferido: src/routes/_app.index.tsx:224-270 (os "recados", incluindo "a mais antiga espera há N dias") e :353 (ranking) + src/lib/painel.functions.ts:96-150; commit e022d1b</t>
        </is>
      </c>
    </row>
    <row r="156">
      <c r="A156" s="9" t="n">
        <v>155</v>
      </c>
      <c r="B156" s="9" t="inlineStr">
        <is>
          <t>Dashboard do grupo</t>
        </is>
      </c>
      <c r="C156" s="9" t="inlineStr">
        <is>
          <t>Tela do grupo com os indicadores dele, separada do painel geral.</t>
        </is>
      </c>
      <c r="D156" s="9" t="inlineStr">
        <is>
          <t>Plataforma</t>
        </is>
      </c>
      <c r="E156" s="9" t="inlineStr">
        <is>
          <t>Concluído</t>
        </is>
      </c>
      <c r="F156" s="9" t="n">
        <v>155</v>
      </c>
      <c r="G156" s="9" t="inlineStr">
        <is>
          <t>Claude</t>
        </is>
      </c>
      <c r="H156" s="9" t="inlineStr">
        <is>
          <t>git log 325e478</t>
        </is>
      </c>
      <c r="I156" s="9" t="inlineStr">
        <is>
          <t>Conferido: src/routes/_app.grupos.$id.tsx (556 linhas; o bloco "DNA do grupo" com média por dimensão separada por instrumento está em ~436-500); commit 325e478</t>
        </is>
      </c>
    </row>
    <row r="157">
      <c r="A157" s="9" t="n">
        <v>156</v>
      </c>
      <c r="B157" s="9" t="inlineStr">
        <is>
          <t>Dashboard e catálogo de instrumentos</t>
        </is>
      </c>
      <c r="C157" s="9" t="inlineStr">
        <is>
          <t>Primeira versão: painel inicial do mentor e catálogo dos testes disponíveis.</t>
        </is>
      </c>
      <c r="D157" s="9" t="inlineStr">
        <is>
          <t>Plataforma</t>
        </is>
      </c>
      <c r="E157" s="9" t="inlineStr">
        <is>
          <t>Concluído</t>
        </is>
      </c>
      <c r="F157" s="9" t="n">
        <v>156</v>
      </c>
      <c r="G157" s="9" t="inlineStr">
        <is>
          <t>Claude</t>
        </is>
      </c>
      <c r="H157" s="9" t="inlineStr">
        <is>
          <t>git log 36a918e</t>
        </is>
      </c>
      <c r="I157" s="9" t="inlineStr">
        <is>
          <t>Conferido: src/routes/_app.index.tsx (painel) + src/routes/_app.testes.index.tsx (catálogo, consome listInstruments de src/lib/data.functions.ts); commit 36a918e</t>
        </is>
      </c>
    </row>
    <row r="158">
      <c r="A158" s="9" t="n">
        <v>157</v>
      </c>
      <c r="B158" s="9" t="inlineStr">
        <is>
          <t>Derivações do DISC no relatório</t>
        </is>
      </c>
      <c r="C158" s="9" t="inlineStr">
        <is>
          <t>Estilos de liderança, competências, índices e tipos psicológicos derivados do DISC.</t>
        </is>
      </c>
      <c r="D158" s="9" t="inlineStr">
        <is>
          <t>Relatórios</t>
        </is>
      </c>
      <c r="E158" s="9" t="inlineStr">
        <is>
          <t>Concluído</t>
        </is>
      </c>
      <c r="F158" s="9" t="n">
        <v>157</v>
      </c>
      <c r="G158" s="9" t="inlineStr">
        <is>
          <t>Claude</t>
        </is>
      </c>
      <c r="H158" s="9" t="inlineStr">
        <is>
          <t>git log 14d3d29 · CLAUDE.md § Relatórios</t>
        </is>
      </c>
      <c r="I158" s="9" t="inlineStr">
        <is>
          <t>Conferido: src/lib/derivations.ts (218 linhas: DEFAULT_JUNG, DEFAULT_INDICES, COMPETENCIAS, LEADERSHIP_STYLES, computeDerived, JUNG_BULLETS, indexPhrase) + consumo em src/lib/report.server.ts</t>
        </is>
      </c>
    </row>
    <row r="159">
      <c r="A159" s="9" t="n">
        <v>158</v>
      </c>
      <c r="B159" s="9" t="inlineStr">
        <is>
          <t>Devolutiva no painel do aluno e agendamento avulso</t>
        </is>
      </c>
      <c r="C159" s="9" t="inlineStr">
        <is>
          <t>O avaliado passa a ver a própria devolutiva, e o mentor consegue agendar uma fora da fila.</t>
        </is>
      </c>
      <c r="D159" s="9" t="inlineStr">
        <is>
          <t>Agenda</t>
        </is>
      </c>
      <c r="E159" s="9" t="inlineStr">
        <is>
          <t>Concluído</t>
        </is>
      </c>
      <c r="F159" s="9" t="n">
        <v>158</v>
      </c>
      <c r="G159" s="9" t="inlineStr">
        <is>
          <t>Claude</t>
        </is>
      </c>
      <c r="H159" s="9" t="inlineStr">
        <is>
          <t>git log 880c2bd</t>
        </is>
      </c>
      <c r="I159" s="9" t="inlineStr">
        <is>
          <t>Varredura completa do Claude Code, 03/08 (11 áreas, 237 demandas), cruzada com a varredura independente do chat. ÓRFÃ: o objeto desta demanda (a tela de devolutiva no painel do aluno) foi apagado em 31/07, quando o menu Mentorias substituiu Devolutivas. Não há mais o que fazer nem o que decidir. Registro mantido para o histórico não mentir sobre o que já foi planejado.</t>
        </is>
      </c>
    </row>
    <row r="160">
      <c r="A160" s="9" t="n">
        <v>159</v>
      </c>
      <c r="B160" s="9" t="inlineStr">
        <is>
          <t>Disparo de testes para o grupo inteiro</t>
        </is>
      </c>
      <c r="C160" s="9" t="inlineStr">
        <is>
          <t>A aba 'Testes liberados' virou botão 'Enviar para o grupo', pré-marcando membros e testes liberados.</t>
        </is>
      </c>
      <c r="D160" s="9" t="inlineStr">
        <is>
          <t>Testes</t>
        </is>
      </c>
      <c r="E160" s="9" t="inlineStr">
        <is>
          <t>Concluído</t>
        </is>
      </c>
      <c r="F160" s="9" t="n">
        <v>159</v>
      </c>
      <c r="G160" s="9" t="inlineStr">
        <is>
          <t>Claude</t>
        </is>
      </c>
      <c r="H160" s="9" t="inlineStr">
        <is>
          <t>roadmap-proximas-features.md item 8 · git log 4d4873e</t>
        </is>
      </c>
      <c r="I160" s="9" t="inlineStr">
        <is>
          <t>Conferido: src/routes/_app.grupos.$id.tsx:205-220 (bloco "Enviar para todo o grupo" com botão que leva a /envios/novo?groupId=, desabilitado sem pessoas ou sem testes) + src/routes/_app.envio</t>
        </is>
      </c>
    </row>
    <row r="161">
      <c r="A161" s="9" t="n">
        <v>160</v>
      </c>
      <c r="B161" s="9" t="inlineStr">
        <is>
          <t>Dois defeitos do check-in (embed sem FK e RLS)</t>
        </is>
      </c>
      <c r="C161" s="9" t="inlineStr">
        <is>
          <t>treinamento_grupos não embeda group_members, e o maybeSingle estourava para o professor porque a policy entrega a lista inteira.</t>
        </is>
      </c>
      <c r="D161" s="9" t="inlineStr">
        <is>
          <t>Classroom</t>
        </is>
      </c>
      <c r="E161" s="9" t="inlineStr">
        <is>
          <t>Concluído</t>
        </is>
      </c>
      <c r="F161" s="9" t="n">
        <v>160</v>
      </c>
      <c r="G161" s="9" t="inlineStr">
        <is>
          <t>Claude</t>
        </is>
      </c>
      <c r="H161" s="9" t="inlineStr">
        <is>
          <t>postgrest-embed-e-rls-recorte.md</t>
        </is>
      </c>
      <c r="I161" s="9" t="inlineStr">
        <is>
          <t>Conferido: commit 4b5cfe6 ('o vínculo de grupo em dois passos, não por join aninhado' — treinamento_grupos e group_members não têm FK entre si, o PostgREST recusava o embed e o confirmar morr</t>
        </is>
      </c>
    </row>
    <row r="162">
      <c r="A162" s="9" t="n">
        <v>161</v>
      </c>
      <c r="B162" s="9" t="inlineStr">
        <is>
          <t>Editar, duplicar e excluir modelos de teste</t>
        </is>
      </c>
      <c r="C162" s="9" t="inlineStr">
        <is>
          <t>Os modelos passam a pertencer à conta, então dá para editar e não só duplicar; um teste por inventário no envio.</t>
        </is>
      </c>
      <c r="D162" s="9" t="inlineStr">
        <is>
          <t>Testes</t>
        </is>
      </c>
      <c r="E162" s="9" t="inlineStr">
        <is>
          <t>Concluído</t>
        </is>
      </c>
      <c r="F162" s="9" t="n">
        <v>161</v>
      </c>
      <c r="G162" s="9" t="inlineStr">
        <is>
          <t>Claude</t>
        </is>
      </c>
      <c r="H162" s="9" t="inlineStr">
        <is>
          <t>git log d3c5480</t>
        </is>
      </c>
      <c r="I162" s="9" t="inlineStr">
        <is>
          <t>Conferido: supabase/migrations/20260729030000_testes_passam_a_ser_do_mentor.sql + src/lib/tests.functions.ts (duplicateTemplate, deleteTestVersion) + src/routes/_app.testes.index.tsx (as três</t>
        </is>
      </c>
    </row>
    <row r="163">
      <c r="A163" s="9" t="n">
        <v>162</v>
      </c>
      <c r="B163" s="9" t="inlineStr">
        <is>
          <t>Editor de testes e página pública de resposta</t>
        </is>
      </c>
      <c r="C163" s="9" t="inlineStr">
        <is>
          <t>Montar/editar um inventário e o link público onde a pessoa responde sem conta.</t>
        </is>
      </c>
      <c r="D163" s="9" t="inlineStr">
        <is>
          <t>Testes</t>
        </is>
      </c>
      <c r="E163" s="9" t="inlineStr">
        <is>
          <t>Concluído</t>
        </is>
      </c>
      <c r="F163" s="9" t="n">
        <v>162</v>
      </c>
      <c r="G163" s="9" t="inlineStr">
        <is>
          <t>Claude</t>
        </is>
      </c>
      <c r="H163" s="9" t="inlineStr">
        <is>
          <t>git log 4830c68</t>
        </is>
      </c>
      <c r="I163" s="9" t="inlineStr">
        <is>
          <t>Conferido: src/routes/_app.testes.$versionId.editar.tsx (474 linhas) + src/routes/responder.$responseId.tsx (138) + src/components/response-form.tsx + endpoint público src/routes/api.public.r</t>
        </is>
      </c>
    </row>
    <row r="164">
      <c r="A164" s="9" t="n">
        <v>163</v>
      </c>
      <c r="B164" s="9" t="inlineStr">
        <is>
          <t>Educação vira Academy</t>
        </is>
      </c>
      <c r="C164" s="9" t="inlineStr">
        <is>
          <t>Item J: troca só do rótulo do menu; as rotas continuam /educacao para não quebrar links já enviados.</t>
        </is>
      </c>
      <c r="D164" s="9" t="inlineStr">
        <is>
          <t>Academy</t>
        </is>
      </c>
      <c r="E164" s="9" t="inlineStr">
        <is>
          <t>Concluído</t>
        </is>
      </c>
      <c r="F164" s="9" t="n">
        <v>163</v>
      </c>
      <c r="G164" s="9" t="inlineStr">
        <is>
          <t>Claude</t>
        </is>
      </c>
      <c r="H164" s="9" t="inlineStr">
        <is>
          <t>docs/plano-demandas-30-07.md § item J · git log bc3a32c</t>
        </is>
      </c>
      <c r="I164" s="9" t="inlineStr">
        <is>
          <t>Conferido: /Users/matheusguedescarneiro/Documents/persona-compass-suite/src/components/app-sidebar.tsx:34 (`{ to: "/educacao", label: "Academy" }`) e src/routes/aluno.tsx:44 (`{ to: "/aluno/e</t>
        </is>
      </c>
    </row>
    <row r="165">
      <c r="A165" s="9" t="n">
        <v>164</v>
      </c>
      <c r="B165" s="9" t="inlineStr">
        <is>
          <t>Enviar convite por e-mail dentro do fluxo de envio</t>
        </is>
      </c>
      <c r="C165" s="9" t="inlineStr">
        <is>
          <t>Opção 'Enviar o convite por email agora' no passo de revisão, avisando quem está sem e-mail cadastrado.</t>
        </is>
      </c>
      <c r="D165" s="9" t="inlineStr">
        <is>
          <t>Testes</t>
        </is>
      </c>
      <c r="E165" s="9" t="inlineStr">
        <is>
          <t>Concluído</t>
        </is>
      </c>
      <c r="F165" s="9" t="n">
        <v>164</v>
      </c>
      <c r="G165" s="9" t="inlineStr">
        <is>
          <t>Claude</t>
        </is>
      </c>
      <c r="H165" s="9" t="inlineStr">
        <is>
          <t>git log 0d860ff</t>
        </is>
      </c>
      <c r="I165" s="9" t="inlineStr">
        <is>
          <t>Conferido: src/routes/_app.envios.novo.tsx:523 (Label "Enviar o convite por email agora" no passo de revisão), :71 e :208 (chamada de sendMentorEmail depois de criar o envio) e :303 (reenvio</t>
        </is>
      </c>
    </row>
    <row r="166">
      <c r="A166" s="9" t="n">
        <v>165</v>
      </c>
      <c r="B166" s="9" t="inlineStr">
        <is>
          <t>Envio de e-mail pelo Resend</t>
        </is>
      </c>
      <c r="C166" s="9" t="inlineStr">
        <is>
          <t>Chamada HTTP direta à API, destinatário e link resolvidos no servidor, email_logs por service role; domínio verificado e enviando.</t>
        </is>
      </c>
      <c r="D166" s="9" t="inlineStr">
        <is>
          <t>Infra</t>
        </is>
      </c>
      <c r="E166" s="9" t="inlineStr">
        <is>
          <t>Concluído</t>
        </is>
      </c>
      <c r="F166" s="9" t="n">
        <v>165</v>
      </c>
      <c r="G166" s="9" t="inlineStr">
        <is>
          <t>Claude</t>
        </is>
      </c>
      <c r="H166" s="9" t="inlineStr">
        <is>
          <t>integracao-resend-email.md · git log ce26127</t>
        </is>
      </c>
      <c r="I166" s="9" t="inlineStr">
        <is>
          <t>Conferido: src/lib/email.server.ts (fetch direto para https://api.resend.com/emails, sem SDK; chave lida de RESEND_API_KEY/APP_RESEND_API_KEY) + src/lib/email.functions.ts (sendMentorEmail re</t>
        </is>
      </c>
    </row>
    <row r="167">
      <c r="A167" s="9" t="n">
        <v>166</v>
      </c>
      <c r="B167" s="9" t="inlineStr">
        <is>
          <t>Estatísticas removida e Dashboard com gráficos reais</t>
        </is>
      </c>
      <c r="C167" s="9" t="inlineStr">
        <is>
          <t>A página /estatisticas era placeholder e saiu; o Dashboard passou a mostrar indicadores de verdade (mostrava 9/7 quando o real era 14/12).</t>
        </is>
      </c>
      <c r="D167" s="9" t="inlineStr">
        <is>
          <t>Relatórios</t>
        </is>
      </c>
      <c r="E167" s="9" t="inlineStr">
        <is>
          <t>Concluído</t>
        </is>
      </c>
      <c r="F167" s="9" t="n">
        <v>166</v>
      </c>
      <c r="G167" s="9" t="inlineStr">
        <is>
          <t>Claude</t>
        </is>
      </c>
      <c r="H167" s="9" t="inlineStr">
        <is>
          <t>roadmap-proximas-features.md item 7 · git log 24bdcf3</t>
        </is>
      </c>
      <c r="I167" s="9" t="inlineStr">
        <is>
          <t>Conferido: src/routes/_app.estatisticas.tsx não existe mais (nenhuma ocorrência de "estatisticas" em src/) + src/lib/data.functions.ts:586 (getDashboardStats) + src/routes/_app.index.tsx:47-1</t>
        </is>
      </c>
    </row>
    <row r="168">
      <c r="A168" s="9" t="n">
        <v>167</v>
      </c>
      <c r="B168" s="9" t="inlineStr">
        <is>
          <t>Evento rico na Agenda com pop-up</t>
        </is>
      </c>
      <c r="C168" s="9" t="inlineStr">
        <is>
          <t>Item D: evento com hora de início e fim, imagem e link externo; clicar abre pop-up com tudo.</t>
        </is>
      </c>
      <c r="D168" s="9" t="inlineStr">
        <is>
          <t>Agenda</t>
        </is>
      </c>
      <c r="E168" s="9" t="inlineStr">
        <is>
          <t>Concluído</t>
        </is>
      </c>
      <c r="F168" s="9" t="n">
        <v>167</v>
      </c>
      <c r="G168" s="9" t="inlineStr">
        <is>
          <t>Claude</t>
        </is>
      </c>
      <c r="H168" s="9" t="inlineStr">
        <is>
          <t>docs/plano-demandas-30-07.md § D · git log bfe9853</t>
        </is>
      </c>
      <c r="I168" s="9" t="inlineStr">
        <is>
          <t>Conferido: supabase/migrations/20260730060000_evento_rico.sql (colunas termina_em, imagem_url, link_url, CHECK evento_fim_depois_do_inicio, bucket `eventos`) + /Users/matheusguedescarneiro/Do</t>
        </is>
      </c>
    </row>
    <row r="169">
      <c r="A169" s="9" t="n">
        <v>168</v>
      </c>
      <c r="B169" s="9" t="inlineStr">
        <is>
          <t>Eventos criados pelo master por pessoa ou grupo</t>
        </is>
      </c>
      <c r="C169" s="9" t="inlineStr">
        <is>
          <t>Live, prazo de turma ou encontro presencial na agenda, direcionados por pessoa ou grupo (N-para-N), com a regra de quem vê no banco.</t>
        </is>
      </c>
      <c r="D169" s="9" t="inlineStr">
        <is>
          <t>Agenda</t>
        </is>
      </c>
      <c r="E169" s="9" t="inlineStr">
        <is>
          <t>Concluído</t>
        </is>
      </c>
      <c r="F169" s="9" t="n">
        <v>168</v>
      </c>
      <c r="G169" s="9" t="inlineStr">
        <is>
          <t>Claude</t>
        </is>
      </c>
      <c r="H169" s="9" t="inlineStr">
        <is>
          <t>docs/plano-menu-gestao.md § Etapa 3 · git log c3fe2ef</t>
        </is>
      </c>
      <c r="I169" s="9" t="inlineStr">
        <is>
          <t>Conferido: supabase/migrations/20260730040000_eventos_da_agenda.sql (tabelas eventos + evento_destinos N-para-N, CHECK destino_e_um_ou_outro, função posso_ver_evento SECURITY DEFINER e polici</t>
        </is>
      </c>
    </row>
    <row r="170">
      <c r="A170" s="9" t="n">
        <v>169</v>
      </c>
      <c r="B170" s="9" t="inlineStr">
        <is>
          <t>Excluir evento pelo pop-up</t>
        </is>
      </c>
      <c r="C170" s="9" t="inlineStr">
        <is>
          <t>Exclusão direto no pop-up, com confirmação avisando que some da agenda de todos e do Google Calendar.</t>
        </is>
      </c>
      <c r="D170" s="9" t="inlineStr">
        <is>
          <t>Agenda</t>
        </is>
      </c>
      <c r="E170" s="9" t="inlineStr">
        <is>
          <t>Concluído</t>
        </is>
      </c>
      <c r="F170" s="9" t="n">
        <v>169</v>
      </c>
      <c r="G170" s="9" t="inlineStr">
        <is>
          <t>Claude</t>
        </is>
      </c>
      <c r="H170" s="9" t="inlineStr">
        <is>
          <t>git log fb1766f</t>
        </is>
      </c>
      <c r="I170" s="9" t="inlineStr">
        <is>
          <t>Conferido: /Users/matheusguedescarneiro/Documents/persona-compass-suite/src/components/agenda.tsx:275-300 (AlertDialog com o texto "some da agenda de todas as pessoas que o receberam — e tamb</t>
        </is>
      </c>
    </row>
    <row r="171">
      <c r="A171" s="9" t="n">
        <v>170</v>
      </c>
      <c r="B171" s="9" t="inlineStr">
        <is>
          <t>Exportar dados em Pessoas (XLSX e PDF)</t>
        </is>
      </c>
      <c r="C171" s="9" t="inlineStr">
        <is>
          <t>Item C: botão Exportar dados ao lado de Importar planilha, com seleção por pessoa ou todas.</t>
        </is>
      </c>
      <c r="D171" s="9" t="inlineStr">
        <is>
          <t>Plataforma</t>
        </is>
      </c>
      <c r="E171" s="9" t="inlineStr">
        <is>
          <t>Concluído</t>
        </is>
      </c>
      <c r="F171" s="9" t="n">
        <v>170</v>
      </c>
      <c r="G171" s="9" t="inlineStr">
        <is>
          <t>Claude</t>
        </is>
      </c>
      <c r="H171" s="9" t="inlineStr">
        <is>
          <t>docs/plano-demandas-30-07.md § C · git log 0cc689a</t>
        </is>
      </c>
      <c r="I171" s="9" t="inlineStr">
        <is>
          <t>Conferido: /Users/matheusguedescarneiro/Documents/persona-compass-suite/src/components/exportar-pessoas.tsx (seleção por pessoa ou "Todas", linhas 37-44 e 120-150; XLSX por import dinâmico de</t>
        </is>
      </c>
    </row>
    <row r="172">
      <c r="A172" s="9" t="n">
        <v>171</v>
      </c>
      <c r="B172" s="9" t="inlineStr">
        <is>
          <t>Fim de teste com escolha em vez de emendar sozinho</t>
        </is>
      </c>
      <c r="C172" s="9" t="inlineStr">
        <is>
          <t>Ao terminar cada teste da bateria, 'fazer o próximo agora' ou 'voltar ao meu painel'.</t>
        </is>
      </c>
      <c r="D172" s="9" t="inlineStr">
        <is>
          <t>Testes</t>
        </is>
      </c>
      <c r="E172" s="9" t="inlineStr">
        <is>
          <t>Concluído</t>
        </is>
      </c>
      <c r="F172" s="9" t="n">
        <v>171</v>
      </c>
      <c r="G172" s="9" t="inlineStr">
        <is>
          <t>Claude</t>
        </is>
      </c>
      <c r="H172" s="9" t="inlineStr">
        <is>
          <t>docs/plano-area-do-aluno.md § 1 item 3 · fila-area-do-aluno.md tabela linha 15 · git log 8d7bdf8</t>
        </is>
      </c>
      <c r="I172" s="9" t="inlineStr">
        <is>
          <t>Conferido: /Users/matheusguedescarneiro/Documents/persona-compass-suite/src/routes/bateria.$assessmentId.tsx:119-131 — botões "Fazer o próximo teste" e "Ir para o meu painel" no bloco de etap</t>
        </is>
      </c>
    </row>
    <row r="173">
      <c r="A173" s="9" t="n">
        <v>172</v>
      </c>
      <c r="B173" s="9" t="inlineStr">
        <is>
          <t>Importar pessoas de planilha</t>
        </is>
      </c>
      <c r="C173" s="9" t="inlineStr">
        <is>
          <t>Subir .xlsx ou .csv com a lista, dentro do grupo ou direto no menu Pessoas.</t>
        </is>
      </c>
      <c r="D173" s="9" t="inlineStr">
        <is>
          <t>Plataforma</t>
        </is>
      </c>
      <c r="E173" s="9" t="inlineStr">
        <is>
          <t>Concluído</t>
        </is>
      </c>
      <c r="F173" s="9" t="n">
        <v>172</v>
      </c>
      <c r="G173" s="9" t="inlineStr">
        <is>
          <t>Claude</t>
        </is>
      </c>
      <c r="H173" s="9" t="inlineStr">
        <is>
          <t>git log 1623126 · git log 79dc81d</t>
        </is>
      </c>
      <c r="I173" s="9" t="inlineStr">
        <is>
          <t>Conferido: src/lib/planilha.ts:104-110 (aceita .xlsx e .csv, recusa .xls com mensagem específica) + src/components/importar-planilha.tsx + montado nos dois lugares: src/routes/_app.grupos.$id</t>
        </is>
      </c>
    </row>
    <row r="174">
      <c r="A174" s="9" t="n">
        <v>173</v>
      </c>
      <c r="B174" s="9" t="inlineStr">
        <is>
          <t>Janela de check-in com margem: 30 min antes, 15 depois</t>
        </is>
      </c>
      <c r="C174" s="9" t="inlineStr">
        <is>
          <t>O professor projeta o QR antes da hora e nenhuma aula começa no minuto cheio.</t>
        </is>
      </c>
      <c r="D174" s="9" t="inlineStr">
        <is>
          <t>Classroom</t>
        </is>
      </c>
      <c r="E174" s="9" t="inlineStr">
        <is>
          <t>Concluído</t>
        </is>
      </c>
      <c r="F174" s="9" t="n">
        <v>173</v>
      </c>
      <c r="G174" s="9" t="inlineStr">
        <is>
          <t>Claude</t>
        </is>
      </c>
      <c r="H174" s="9" t="inlineStr">
        <is>
          <t>docs/analise-classroom.md § O que a etapa 4 decidiu na prática, item 3</t>
        </is>
      </c>
      <c r="I174" s="9" t="inlineStr">
        <is>
          <t>Conferido: src/lib/janela.ts:12-15 — MARGEM_ANTES_MIN = 30 e MARGEM_DEPOIS_MIN = 15, com DURACAO_PADRAO_HORAS = 4 para aula sem fim declarado; janelaDaAula() e dentroDaJanela() usadas nas dua</t>
        </is>
      </c>
    </row>
    <row r="175">
      <c r="A175" s="9" t="n">
        <v>174</v>
      </c>
      <c r="B175" s="9" t="inlineStr">
        <is>
          <t>Kanban de devolutivas em três colunas</t>
        </is>
      </c>
      <c r="C175" s="9" t="inlineStr">
        <is>
          <t>Sem devolutiva (fila calculada), agendada e realizada; o cartão leva para a ação real, arrastar não move nada.</t>
        </is>
      </c>
      <c r="D175" s="9" t="inlineStr">
        <is>
          <t>Agenda</t>
        </is>
      </c>
      <c r="E175" s="9" t="inlineStr">
        <is>
          <t>Concluído</t>
        </is>
      </c>
      <c r="F175" s="9" t="n">
        <v>174</v>
      </c>
      <c r="G175" s="9" t="inlineStr">
        <is>
          <t>Claude</t>
        </is>
      </c>
      <c r="H175" s="9" t="inlineStr">
        <is>
          <t>docs/plano-menu-gestao.md § Etapa 1 · backlog-menu-gestao.md § 2 · git log c734857</t>
        </is>
      </c>
      <c r="I175" s="9" t="inlineStr">
        <is>
          <t>Varredura completa do Claude Code, 03/08 (11 áreas, 237 demandas), cruzada com a varredura independente do chat. ÓRFÃ: o objeto desta demanda (Kanban de devolutivas em 3 colunas) foi apagado em 31/07, quando o menu Mentorias substituiu Devolutivas. Não há mais o que fazer nem o que decidir. Registro mantido para o histórico não mentir sobre o que já foi planejado.</t>
        </is>
      </c>
    </row>
    <row r="176">
      <c r="A176" s="9" t="n">
        <v>175</v>
      </c>
      <c r="B176" s="9" t="inlineStr">
        <is>
          <t>Link aberto compartilhável com limite de respostas</t>
        </is>
      </c>
      <c r="C176" s="9" t="inlineStr">
        <is>
          <t>/convite/$linkId com título, testes, prazo e vagas; claim_invite_link reserva a vaga num único UPDATE.</t>
        </is>
      </c>
      <c r="D176" s="9" t="inlineStr">
        <is>
          <t>Testes</t>
        </is>
      </c>
      <c r="E176" s="9" t="inlineStr">
        <is>
          <t>Concluído</t>
        </is>
      </c>
      <c r="F176" s="9" t="n">
        <v>175</v>
      </c>
      <c r="G176" s="9" t="inlineStr">
        <is>
          <t>Claude</t>
        </is>
      </c>
      <c r="H176" s="9" t="inlineStr">
        <is>
          <t>feature-validade-e-link-aberto.md § Link aberto · git log 93afe99</t>
        </is>
      </c>
      <c r="I176" s="9" t="inlineStr">
        <is>
          <t>Conferido: src/routes/convite.$linkId.tsx (rota pública) + src/routes/api.public.invite.$id.ts:102 (rpc claim_invite_link, com 410 para expirado/esgotado nas linhas 99 e 107) + supabase/migra</t>
        </is>
      </c>
    </row>
    <row r="177">
      <c r="A177" s="9" t="n">
        <v>176</v>
      </c>
      <c r="B177" s="9" t="inlineStr">
        <is>
          <t>Login com Google</t>
        </is>
      </c>
      <c r="C177" s="9" t="inlineStr">
        <is>
          <t>Entrar na plataforma com a conta Google, além de e-mail e senha.</t>
        </is>
      </c>
      <c r="D177" s="9" t="inlineStr">
        <is>
          <t>Infra</t>
        </is>
      </c>
      <c r="E177" s="9" t="inlineStr">
        <is>
          <t>Concluído</t>
        </is>
      </c>
      <c r="F177" s="9" t="n">
        <v>176</v>
      </c>
      <c r="G177" s="9" t="inlineStr">
        <is>
          <t>Claude</t>
        </is>
      </c>
      <c r="H177" s="9" t="inlineStr">
        <is>
          <t>git log 8dbb136</t>
        </is>
      </c>
      <c r="I177" s="9" t="inlineStr">
        <is>
          <t>Conferido: src/routes/auth.tsx:53-76 — supabase.auth.signInWithOAuth({ provider: "google", options: { redirectTo } })</t>
        </is>
      </c>
    </row>
    <row r="178">
      <c r="A178" s="9" t="n">
        <v>177</v>
      </c>
      <c r="B178" s="9" t="inlineStr">
        <is>
          <t>Marca do mentor aplicada (white label)</t>
        </is>
      </c>
      <c r="C178" s="9" t="inlineStr">
        <is>
          <t>applyBrand() sobrescreve os tokens CSS, bucket 'marca', cor no tema e blocos do relatório que dá para desligar; nas páginas públicas vale a marca do dono do link.</t>
        </is>
      </c>
      <c r="D178" s="9" t="inlineStr">
        <is>
          <t>Plataforma</t>
        </is>
      </c>
      <c r="E178" s="9" t="inlineStr">
        <is>
          <t>Concluído</t>
        </is>
      </c>
      <c r="F178" s="9" t="n">
        <v>177</v>
      </c>
      <c r="G178" s="9" t="inlineStr">
        <is>
          <t>Claude</t>
        </is>
      </c>
      <c r="H178" s="9" t="inlineStr">
        <is>
          <t>feature-marca-white-label.md · git log c6ebd5a</t>
        </is>
      </c>
      <c r="I178" s="9" t="inlineStr">
        <is>
          <t>Conferido: src/lib/brand.tsx:60 (applyBrand sobrescreve os tokens CSS) e :85 (useApplyBrand desfaz ao sair) + src/lib/brand.server.ts (loadBrandAndSettings, marca do DONO do link nas páginas</t>
        </is>
      </c>
    </row>
    <row r="179">
      <c r="A179" s="9" t="n">
        <v>178</v>
      </c>
      <c r="B179" s="9" t="inlineStr">
        <is>
          <t>Material com audiência e aula virando evento na agenda</t>
        </is>
      </c>
      <c r="C179" s="9" t="inlineStr">
        <is>
          <t>Cada material escolhe se é 'só você' ou 'o aluno também', e a aula com horário gera evento na agenda dos grupos.</t>
        </is>
      </c>
      <c r="D179" s="9" t="inlineStr">
        <is>
          <t>Classroom</t>
        </is>
      </c>
      <c r="E179" s="9" t="inlineStr">
        <is>
          <t>Concluído</t>
        </is>
      </c>
      <c r="F179" s="9" t="n">
        <v>178</v>
      </c>
      <c r="G179" s="9" t="inlineStr">
        <is>
          <t>Claude</t>
        </is>
      </c>
      <c r="H179" s="9" t="inlineStr">
        <is>
          <t>git log c342813</t>
        </is>
      </c>
      <c r="I179" s="9" t="inlineStr">
        <is>
          <t>Conferido: supabase/migrations/20260730190000_classroom_material_e_agenda.sql — coluna visivel_aluno e a policy mat_read reescrita (professor vê tudo; aluno só o liberado), mais eventos.aula_</t>
        </is>
      </c>
    </row>
    <row r="180">
      <c r="A180" s="9" t="n">
        <v>179</v>
      </c>
      <c r="B180" s="9" t="inlineStr">
        <is>
          <t>Mentor envia templates direto, sem duplicar</t>
        </is>
      </c>
      <c r="C180" s="9" t="inlineStr">
        <is>
          <t>O bloqueio era o filtro do front; duplicar virou opcional, com badge 'Modelo' / 'Minha versão'.</t>
        </is>
      </c>
      <c r="D180" s="9" t="inlineStr">
        <is>
          <t>Testes</t>
        </is>
      </c>
      <c r="E180" s="9" t="inlineStr">
        <is>
          <t>Concluído</t>
        </is>
      </c>
      <c r="F180" s="9" t="n">
        <v>179</v>
      </c>
      <c r="G180" s="9" t="inlineStr">
        <is>
          <t>Claude</t>
        </is>
      </c>
      <c r="H180" s="9" t="inlineStr">
        <is>
          <t>avaliacao-bateria-e-relatorios.md § Outros achados</t>
        </is>
      </c>
      <c r="I180" s="9" t="inlineStr">
        <is>
          <t>Conferido: src/routes/_app.envios.novo.tsx:101 (ordena por is_template em vez de filtrar) e :415 (rótulo "Modelo") + src/routes/_app.testes.index.tsx:81 (badge `v.is_template ? "Modelo" : "Mi</t>
        </is>
      </c>
    </row>
    <row r="181">
      <c r="A181" s="9" t="n">
        <v>180</v>
      </c>
      <c r="B181" s="9" t="inlineStr">
        <is>
          <t>Menu Devolutivas com fila calculada</t>
        </is>
      </c>
      <c r="C181" s="9" t="inlineStr">
        <is>
          <t>Quem tem submitted_at e não tem devolutiva não-cancelada aparece sozinho; contador de dias muda de cor aos 7 e aos 21.</t>
        </is>
      </c>
      <c r="D181" s="9" t="inlineStr">
        <is>
          <t>Agenda</t>
        </is>
      </c>
      <c r="E181" s="9" t="inlineStr">
        <is>
          <t>Concluído</t>
        </is>
      </c>
      <c r="F181" s="9" t="n">
        <v>180</v>
      </c>
      <c r="G181" s="9" t="inlineStr">
        <is>
          <t>Claude</t>
        </is>
      </c>
      <c r="H181" s="9" t="inlineStr">
        <is>
          <t>feature-devolutivas.md · git log ffa9121</t>
        </is>
      </c>
      <c r="I181" s="9" t="inlineStr">
        <is>
          <t>Varredura completa do Claude Code, 03/08 (11 áreas, 237 demandas), cruzada com a varredura independente do chat. ÓRFÃ: o objeto desta demanda (a fila calculada de devolutivas) foi apagado em 31/07, quando o menu Mentorias substituiu Devolutivas. Não há mais o que fazer nem o que decidir. Registro mantido para o histórico não mentir sobre o que já foi planejado.</t>
        </is>
      </c>
    </row>
    <row r="182">
      <c r="A182" s="9" t="n">
        <v>181</v>
      </c>
      <c r="B182" s="9" t="inlineStr">
        <is>
          <t>Menu Testes com abas Catálogo, Envios e Devolutivas</t>
        </is>
      </c>
      <c r="C182" s="9" t="inlineStr">
        <is>
          <t>Item A: Envios e Devolutivas viram abas dentro do menu Testes, respeitando a permissão de cada colaborador (aba some conforme a permissão).</t>
        </is>
      </c>
      <c r="D182" s="9" t="inlineStr">
        <is>
          <t>Testes</t>
        </is>
      </c>
      <c r="E182" s="9" t="inlineStr">
        <is>
          <t>Concluído</t>
        </is>
      </c>
      <c r="F182" s="9" t="n">
        <v>181</v>
      </c>
      <c r="G182" s="9" t="inlineStr">
        <is>
          <t>Claude</t>
        </is>
      </c>
      <c r="H182" s="9" t="inlineStr">
        <is>
          <t>docs/plano-demandas-30-07.md § A · docs/plano-demandas-30-07.md § A bloco de cuidado · git log eb9b059</t>
        </is>
      </c>
      <c r="I182" s="9" t="inlineStr">
        <is>
          <t>Varredura completa do Claude Code, 03/08 (11 áreas, 237 demandas), cruzada com a varredura independente do chat. Hoje são 2 abas, não 3: Devolutivas virou o menu Mentorias. A mudança está rastreada na #213.</t>
        </is>
      </c>
    </row>
    <row r="183">
      <c r="A183" s="9" t="n">
        <v>182</v>
      </c>
      <c r="B183" s="9" t="inlineStr">
        <is>
          <t>Menu lateral recolhível no painel do aluno</t>
        </is>
      </c>
      <c r="C183" s="9" t="inlineStr">
        <is>
          <t>Item B: a barra do aluno sai do topo e vira lateral esquerda recolhível, com o estado salvo no navegador.</t>
        </is>
      </c>
      <c r="D183" s="9" t="inlineStr">
        <is>
          <t>Plataforma</t>
        </is>
      </c>
      <c r="E183" s="9" t="inlineStr">
        <is>
          <t>Concluído</t>
        </is>
      </c>
      <c r="F183" s="9" t="n">
        <v>182</v>
      </c>
      <c r="G183" s="9" t="inlineStr">
        <is>
          <t>Claude</t>
        </is>
      </c>
      <c r="H183" s="9" t="inlineStr">
        <is>
          <t>docs/plano-demandas-30-07.md § B · git log e38d473</t>
        </is>
      </c>
      <c r="I183" s="9" t="inlineStr">
        <is>
          <t>Conferido: /Users/matheusguedescarneiro/Documents/persona-compass-suite/src/routes/aluno.tsx:96-164 — estado `recolhida`, persistência em localStorage("aluno-menu-recolhido"), larguras lg:w-1</t>
        </is>
      </c>
    </row>
    <row r="184">
      <c r="A184" s="9" t="n">
        <v>183</v>
      </c>
      <c r="B184" s="9" t="inlineStr">
        <is>
          <t>Menu próprio do mentor afiliado</t>
        </is>
      </c>
      <c r="C184" s="9" t="inlineStr">
        <is>
          <t>O mentor deixa de cair no dashboard vazio do dono e ganha Grupos, Devolutivas, Comunidades e Educação.</t>
        </is>
      </c>
      <c r="D184" s="9" t="inlineStr">
        <is>
          <t>Academy</t>
        </is>
      </c>
      <c r="E184" s="9" t="inlineStr">
        <is>
          <t>Concluído</t>
        </is>
      </c>
      <c r="F184" s="9" t="n">
        <v>183</v>
      </c>
      <c r="G184" s="9" t="inlineStr">
        <is>
          <t>Claude</t>
        </is>
      </c>
      <c r="H184" s="9" t="inlineStr">
        <is>
          <t>docs/plano-area-do-aluno.md § Anexo 1 plano C · git log c95ec7e</t>
        </is>
      </c>
      <c r="I184" s="9" t="inlineStr">
        <is>
          <t>Varredura completa do Claude Code, 03/08 (11 áreas, 237 demandas), cruzada com a varredura independente do chat. A prova aponta código removido horas depois, mas o objetivo foi cumprido por outra arquitetura decidida no mesmo dia.</t>
        </is>
      </c>
    </row>
    <row r="185">
      <c r="A185" s="9" t="n">
        <v>184</v>
      </c>
      <c r="B185" s="9" t="inlineStr">
        <is>
          <t>Migração para Supabase próprio e cutover</t>
        </is>
      </c>
      <c r="C185" s="9" t="inlineStr">
        <is>
          <t>Saída do banco gerenciado pelo Lovable para o projeto ycprhrbotcyrewewbwvm, com Google OAuth próprio e APP_SUPABASE_SERVICE_ROLE_KEY.</t>
        </is>
      </c>
      <c r="D185" s="9" t="inlineStr">
        <is>
          <t>Infra</t>
        </is>
      </c>
      <c r="E185" s="9" t="inlineStr">
        <is>
          <t>Concluído</t>
        </is>
      </c>
      <c r="F185" s="9" t="n">
        <v>184</v>
      </c>
      <c r="G185" s="9" t="inlineStr">
        <is>
          <t>Claude</t>
        </is>
      </c>
      <c r="H185" s="9" t="inlineStr">
        <is>
          <t>publicacao-exige-cutover.md · migracao-supabase-proprio.md · git log 815a3b3</t>
        </is>
      </c>
      <c r="I185" s="9" t="inlineStr">
        <is>
          <t>Conferido: .env commitada com SUPABASE_PROJECT_ID="ycprhrbotcyrewewbwvm"; src/integrations/supabase/client.server.ts:41 lê APP_SUPABASE_SERVICE_ROLE_KEY; commit 815a3b3 "Relatórios ricos, cor</t>
        </is>
      </c>
    </row>
    <row r="186">
      <c r="A186" s="9" t="n">
        <v>185</v>
      </c>
      <c r="B186" s="9" t="inlineStr">
        <is>
          <t>Moderação da comunidade</t>
        </is>
      </c>
      <c r="C186" s="9" t="inlineStr">
        <is>
          <t>Só o dono e o mentor do grupo apagam post alheio; o aluno apaga o dele e a lixeira some para quem não pode.</t>
        </is>
      </c>
      <c r="D186" s="9" t="inlineStr">
        <is>
          <t>Comunidade</t>
        </is>
      </c>
      <c r="E186" s="9" t="inlineStr">
        <is>
          <t>Concluído</t>
        </is>
      </c>
      <c r="F186" s="9" t="n">
        <v>185</v>
      </c>
      <c r="G186" s="9" t="inlineStr">
        <is>
          <t>Claude</t>
        </is>
      </c>
      <c r="H186" s="9" t="inlineStr">
        <is>
          <t>docs/plano-area-do-aluno.md § 5 · fila-area-do-aluno.md linhas 25-28 · git log 38729bd</t>
        </is>
      </c>
      <c r="I186" s="9" t="inlineStr">
        <is>
          <t>Conferido: supabase/migrations/20260730020000_moderacao_da_comunidade.sql (função SECURITY DEFINER `posso_moderar_post`: dono do grupo OU mentor atribuído via team_member_groups) + /Users/mat</t>
        </is>
      </c>
    </row>
    <row r="187">
      <c r="A187" s="9" t="n">
        <v>186</v>
      </c>
      <c r="B187" s="9" t="inlineStr">
        <is>
          <t>Painel de devolutiva em cartões (Fase 1)</t>
        </is>
      </c>
      <c r="C187" s="9" t="inlineStr">
        <is>
          <t>/devolutivas/$id/painel com um cartão por instrumento respondido, para conduzir a conversa sem rolar um documento longo. Primeira das 4 fases da ficha de trabalho.</t>
        </is>
      </c>
      <c r="D187" s="9" t="inlineStr">
        <is>
          <t>Relatórios</t>
        </is>
      </c>
      <c r="E187" s="9" t="inlineStr">
        <is>
          <t>Concluído</t>
        </is>
      </c>
      <c r="F187" s="9" t="n">
        <v>186</v>
      </c>
      <c r="G187" s="9" t="inlineStr">
        <is>
          <t>Claude</t>
        </is>
      </c>
      <c r="H187" s="9" t="inlineStr">
        <is>
          <t>docs/plano-painel-devolutiva.md § 4 Fase 1 · referencia-cis-painel-devolutiva.md · git log 6f61c65</t>
        </is>
      </c>
      <c r="I187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188">
      <c r="A188" s="9" t="n">
        <v>187</v>
      </c>
      <c r="B188" s="9" t="inlineStr">
        <is>
          <t>Painel do aluno mostrando o resultado em gráficos</t>
        </is>
      </c>
      <c r="C188" s="9" t="inlineStr">
        <is>
          <t>Um cartão por inventário concluído com as dimensões em barras, antes da lista de links.</t>
        </is>
      </c>
      <c r="D188" s="9" t="inlineStr">
        <is>
          <t>Relatórios</t>
        </is>
      </c>
      <c r="E188" s="9" t="inlineStr">
        <is>
          <t>Concluído</t>
        </is>
      </c>
      <c r="F188" s="9" t="n">
        <v>187</v>
      </c>
      <c r="G188" s="9" t="inlineStr">
        <is>
          <t>Claude</t>
        </is>
      </c>
      <c r="H188" s="9" t="inlineStr">
        <is>
          <t>docs/plano-area-do-aluno.md § 1 item 4 · fila-area-do-aluno.md tabela linha 17 · git log f68f0f2</t>
        </is>
      </c>
      <c r="I188" s="9" t="inlineStr">
        <is>
          <t>Conferido: /Users/matheusguedescarneiro/Documents/persona-compass-suite/src/components/resultados-do-aluno.tsx (barras com `width: ${f.valor}%` na linha 62) + src/lib/student.functions.ts + s</t>
        </is>
      </c>
    </row>
    <row r="189">
      <c r="A189" s="9" t="n">
        <v>188</v>
      </c>
      <c r="B189" s="9" t="inlineStr">
        <is>
          <t>Perfil entre colegas com limite e consentimento</t>
        </is>
      </c>
      <c r="C189" s="9" t="inlineStr">
        <is>
          <t>Membro vê foto, nome e cargo; contato e profissão só aparecem se a própria pessoa autorizar, com padrão desligado.</t>
        </is>
      </c>
      <c r="D189" s="9" t="inlineStr">
        <is>
          <t>Comunidade</t>
        </is>
      </c>
      <c r="E189" s="9" t="inlineStr">
        <is>
          <t>Concluído</t>
        </is>
      </c>
      <c r="F189" s="9" t="n">
        <v>188</v>
      </c>
      <c r="G189" s="9" t="inlineStr">
        <is>
          <t>Claude</t>
        </is>
      </c>
      <c r="H189" s="9" t="inlineStr">
        <is>
          <t>docs/plano-demandas-30-07.md § F, bloco de alerta · git log 4299d8b · git log 97c1de3</t>
        </is>
      </c>
      <c r="I189" s="9" t="inlineStr">
        <is>
          <t>Conferido: supabase/migrations/20260730070000_perfil_visivel.sql (coluna `people.perfil_visivel` DEFAULT false + função SECURITY DEFINER `perfil_do_colega`, com CASE por consentimento e checa</t>
        </is>
      </c>
    </row>
    <row r="190">
      <c r="A190" s="9" t="n">
        <v>189</v>
      </c>
      <c r="B190" s="9" t="inlineStr">
        <is>
          <t>Permissão can_schedule_devolutivas por grupo</t>
        </is>
      </c>
      <c r="C190" s="9" t="inlineStr">
        <is>
          <t>Coluna em team_member_groups, ao lado de can_download_reports, para liberar por grupo quem pode agendar devolutiva.</t>
        </is>
      </c>
      <c r="D190" s="9" t="inlineStr">
        <is>
          <t>Infra</t>
        </is>
      </c>
      <c r="E190" s="9" t="inlineStr">
        <is>
          <t>Concluído</t>
        </is>
      </c>
      <c r="F190" s="9" t="n">
        <v>189</v>
      </c>
      <c r="G190" s="9" t="inlineStr">
        <is>
          <t>Claude</t>
        </is>
      </c>
      <c r="H190" s="9" t="inlineStr">
        <is>
          <t>docs/plano-area-do-aluno.md § Anexo 1 plano D · docs/plano-menu-gestao.md § Etapa 2</t>
        </is>
      </c>
      <c r="I190" s="9" t="inlineStr">
        <is>
          <t>Varredura completa do Claude Code, 03/08 (11 áreas, 237 demandas), cruzada com a varredura independente do chat. A decisão continua válida; só o nome do artefato citado mudou em renomeações posteriores.</t>
        </is>
      </c>
    </row>
    <row r="191">
      <c r="A191" s="9" t="n">
        <v>190</v>
      </c>
      <c r="B191" s="9" t="inlineStr">
        <is>
          <t>Plano de ação interativo</t>
        </is>
      </c>
      <c r="C191" s="9" t="inlineStr">
        <is>
          <t>O avaliado registra compromissos e ações a partir do resultado, dentro do próprio relatório (action_plans).</t>
        </is>
      </c>
      <c r="D191" s="9" t="inlineStr">
        <is>
          <t>Relatórios</t>
        </is>
      </c>
      <c r="E191" s="9" t="inlineStr">
        <is>
          <t>Concluído</t>
        </is>
      </c>
      <c r="F191" s="9" t="n">
        <v>190</v>
      </c>
      <c r="G191" s="9" t="inlineStr">
        <is>
          <t>Claude</t>
        </is>
      </c>
      <c r="H191" s="9" t="inlineStr">
        <is>
          <t>CLAUDE.md § Estado atual · git log 394828f</t>
        </is>
      </c>
      <c r="I191" s="9" t="inlineStr">
        <is>
          <t>Conferido: src/routes/api.public.action-plan.$id.ts (GET/POST em action_plans, linhas 36 e 65) + ActionPlanSection em src/components/report/sections.tsx:543-557; commit 394828f</t>
        </is>
      </c>
    </row>
    <row r="192">
      <c r="A192" s="9" t="n">
        <v>191</v>
      </c>
      <c r="B192" s="9" t="inlineStr">
        <is>
          <t>Prazo de validade do link em todos os envios</t>
        </is>
      </c>
      <c r="C192" s="9" t="inlineStr">
        <is>
          <t>expires_at em test_responses e assessment_responses, campo 'Disponível até' no wizard e 410 nos endpoints públicos.</t>
        </is>
      </c>
      <c r="D192" s="9" t="inlineStr">
        <is>
          <t>Testes</t>
        </is>
      </c>
      <c r="E192" s="9" t="inlineStr">
        <is>
          <t>Concluído</t>
        </is>
      </c>
      <c r="F192" s="9" t="n">
        <v>191</v>
      </c>
      <c r="G192" s="9" t="inlineStr">
        <is>
          <t>Claude</t>
        </is>
      </c>
      <c r="H192" s="9" t="inlineStr">
        <is>
          <t>feature-validade-e-link-aberto.md § Validade · git log 93afe99</t>
        </is>
      </c>
      <c r="I192" s="9" t="inlineStr">
        <is>
          <t>Conferido: supabase/migrations/20260728010000_link_validade_e_link_aberto.sql (expires_at em test_responses e assessment_responses) + src/lib/tests.functions.ts (expires_at no Zod e no insert</t>
        </is>
      </c>
    </row>
    <row r="193">
      <c r="A193" s="9" t="n">
        <v>192</v>
      </c>
      <c r="B193" s="9" t="inlineStr">
        <is>
          <t>Primeiro acesso do aluno por link e senha</t>
        </is>
      </c>
      <c r="C193" s="9" t="inlineStr">
        <is>
          <t>E-mail → link enviado pelo Resend → só então a senha; a tela nunca diz 'e-mail não encontrado'. A versão literal que ele pediu foi recusada por permitir sequestro de conta.</t>
        </is>
      </c>
      <c r="D193" s="9" t="inlineStr">
        <is>
          <t>Infra</t>
        </is>
      </c>
      <c r="E193" s="9" t="inlineStr">
        <is>
          <t>Concluído</t>
        </is>
      </c>
      <c r="F193" s="9" t="n">
        <v>192</v>
      </c>
      <c r="G193" s="9" t="inlineStr">
        <is>
          <t>Claude</t>
        </is>
      </c>
      <c r="H193" s="9" t="inlineStr">
        <is>
          <t>docs/plano-area-do-aluno.md § 2 · seguranca-primeiro-acesso.md · fila-area-do-aluno.md tabela linha 16 · git l</t>
        </is>
      </c>
      <c r="I193" s="9" t="inlineStr">
        <is>
          <t>Conferido: /Users/matheusguedescarneiro/Documents/persona-compass-suite/src/lib/acesso-aluno.functions.ts:40-118 — resposta sempre neutra ("Se este e-mail estiver cadastrado, você vai receber</t>
        </is>
      </c>
    </row>
    <row r="194">
      <c r="A194" s="9" t="n">
        <v>193</v>
      </c>
      <c r="B194" s="9" t="inlineStr">
        <is>
          <t>Profundidade dos relatórios dimensionais</t>
        </is>
      </c>
      <c r="C194" s="9" t="inlineStr">
        <is>
          <t>Valores, Temperamentos, VAK e Big Five saem de 2 para 9 seções, fechando a distância para o DISC (que tinha 21).</t>
        </is>
      </c>
      <c r="D194" s="9" t="inlineStr">
        <is>
          <t>Relatórios</t>
        </is>
      </c>
      <c r="E194" s="9" t="inlineStr">
        <is>
          <t>Concluído</t>
        </is>
      </c>
      <c r="F194" s="9" t="n">
        <v>193</v>
      </c>
      <c r="G194" s="9" t="inlineStr">
        <is>
          <t>Claude</t>
        </is>
      </c>
      <c r="H194" s="9" t="inlineStr">
        <is>
          <t>profundidade-dos-relatorios.md · avaliacao-bateria-e-relatorios.md · git log 815a3b3 · git log 0772e47</t>
        </is>
      </c>
      <c r="I194" s="9" t="inlineStr">
        <is>
          <t>Conferido: supabase/migrations/20260729140000_relatorio_dimensional.sql + scripts/conteudo_relatorio_dimensional.py (perfil, trabalho, relacoes, pressao, desenvolvimento, sombra para Valores/</t>
        </is>
      </c>
    </row>
    <row r="195">
      <c r="A195" s="9" t="n">
        <v>194</v>
      </c>
      <c r="B195" s="9" t="inlineStr">
        <is>
          <t>Prévia 'Ver como aluno'</t>
        </is>
      </c>
      <c r="C195" s="9" t="inlineStr">
        <is>
          <t>Botão leva a /aluno?ver=&lt;id&gt; com faixa âmbar; não é personificação de login e respeita cadeado e áreas daquela pessoa.</t>
        </is>
      </c>
      <c r="D195" s="9" t="inlineStr">
        <is>
          <t>Plataforma</t>
        </is>
      </c>
      <c r="E195" s="9" t="inlineStr">
        <is>
          <t>Concluído</t>
        </is>
      </c>
      <c r="F195" s="9" t="n">
        <v>194</v>
      </c>
      <c r="G195" s="9" t="inlineStr">
        <is>
          <t>Claude</t>
        </is>
      </c>
      <c r="H195" s="9" t="inlineStr">
        <is>
          <t>feature-tema-fotos-e-ver-como-aluno.md · feature-cadeado-e-areas-do-grupo.md · git log a763af5</t>
        </is>
      </c>
      <c r="I195" s="9" t="inlineStr">
        <is>
          <t>Conferido: src/components/ver-como-aluno.tsx + src/routes/aluno.tsx (search param `ver` em :22-24, faixa âmbar em :205-209 dizendo "É só visualização", areasFn({ preview_person_id: ver }) em</t>
        </is>
      </c>
    </row>
    <row r="196">
      <c r="A196" s="9" t="n">
        <v>195</v>
      </c>
      <c r="B196" s="9" t="inlineStr">
        <is>
          <t>QR derivado da chave que assina o state do Google</t>
        </is>
      </c>
      <c r="C196" s="9" t="inlineStr">
        <is>
          <t>Sem segredo por aula no banco (que vazaria pela RLS): zero tabela, zero escrita, nada secreto para vazar.</t>
        </is>
      </c>
      <c r="D196" s="9" t="inlineStr">
        <is>
          <t>Classroom</t>
        </is>
      </c>
      <c r="E196" s="9" t="inlineStr">
        <is>
          <t>Concluído</t>
        </is>
      </c>
      <c r="F196" s="9" t="n">
        <v>195</v>
      </c>
      <c r="G196" s="9" t="inlineStr">
        <is>
          <t>Claude</t>
        </is>
      </c>
      <c r="H196" s="9" t="inlineStr">
        <is>
          <t>docs/analise-classroom.md § O que a etapa 4 decidiu na prática, item 1</t>
        </is>
      </c>
      <c r="I196" s="9" t="inlineStr">
        <is>
          <t>Conferido: src/lib/checkin.server.ts:44-48 (chave() = SUPABASE_SERVICE_ROLE_KEY || APP_SUPABASE_SERVICE_ROLE_KEY) e src/lib/google.server.ts:142 (chaveDeAssinatura(), exatamente as mesmas var</t>
        </is>
      </c>
    </row>
    <row r="197">
      <c r="A197" s="9" t="n">
        <v>196</v>
      </c>
      <c r="B197" s="9" t="inlineStr">
        <is>
          <t>Relatório completo (Fases 1-3)</t>
        </is>
      </c>
      <c r="C197" s="9" t="inlineStr">
        <is>
          <t>Relatório de verdade a partir das respostas, em três fases, no lugar do resumo de barras.</t>
        </is>
      </c>
      <c r="D197" s="9" t="inlineStr">
        <is>
          <t>Relatórios</t>
        </is>
      </c>
      <c r="E197" s="9" t="inlineStr">
        <is>
          <t>Concluído</t>
        </is>
      </c>
      <c r="F197" s="9" t="n">
        <v>196</v>
      </c>
      <c r="G197" s="9" t="inlineStr">
        <is>
          <t>Claude</t>
        </is>
      </c>
      <c r="H197" s="9" t="inlineStr">
        <is>
          <t>CLAUDE.md § Estado atual · git log 31f7529</t>
        </is>
      </c>
      <c r="I197" s="9" t="inlineStr">
        <is>
          <t>Conferido: src/lib/report.server.ts (523 linhas, os três montadores: DISC, MBTI e dimensional) + src/components/report/sections.tsx (938 linhas) + src/routes/relatorio.$responseId.tsx; commit</t>
        </is>
      </c>
    </row>
    <row r="198">
      <c r="A198" s="9" t="n">
        <v>197</v>
      </c>
      <c r="B198" s="9" t="inlineStr">
        <is>
          <t>Relatório de Tipos Psicológicos (MBTI)</t>
        </is>
      </c>
      <c r="C198" s="9" t="inlineStr">
        <is>
          <t>O MBTI passa de zero texto para oito seções narradas pelos eixos.</t>
        </is>
      </c>
      <c r="D198" s="9" t="inlineStr">
        <is>
          <t>Relatórios</t>
        </is>
      </c>
      <c r="E198" s="9" t="inlineStr">
        <is>
          <t>Concluído</t>
        </is>
      </c>
      <c r="F198" s="9" t="n">
        <v>197</v>
      </c>
      <c r="G198" s="9" t="inlineStr">
        <is>
          <t>Claude</t>
        </is>
      </c>
      <c r="H198" s="9" t="inlineStr">
        <is>
          <t>git log 7e90d9c</t>
        </is>
      </c>
      <c r="I198" s="9" t="inlineStr">
        <is>
          <t>Conferido: supabase/migrations/20260729130000_relatorio_mbti.sql + scripts/conteudo_relatorio_mbti.py (16 sínteses + 8 polos × 4 seções) + mbtiSections() em src/lib/report.server.ts:212-280;</t>
        </is>
      </c>
    </row>
    <row r="199">
      <c r="A199" s="9" t="n">
        <v>198</v>
      </c>
      <c r="B199" s="9" t="inlineStr">
        <is>
          <t>Relatório unificado da bateria com rótulos de derivação</t>
        </is>
      </c>
      <c r="C199" s="9" t="inlineStr">
        <is>
          <t>/relatorio-bateria/$assessmentId com uma seção por teste respondido e rótulos do que é derivado do DISC.</t>
        </is>
      </c>
      <c r="D199" s="9" t="inlineStr">
        <is>
          <t>Relatórios</t>
        </is>
      </c>
      <c r="E199" s="9" t="inlineStr">
        <is>
          <t>Concluído</t>
        </is>
      </c>
      <c r="F199" s="9" t="n">
        <v>198</v>
      </c>
      <c r="G199" s="9" t="inlineStr">
        <is>
          <t>Claude</t>
        </is>
      </c>
      <c r="H199" s="9" t="inlineStr">
        <is>
          <t>CLAUDE.md § Estado atual e § Relatórios</t>
        </is>
      </c>
      <c r="I199" s="9" t="inlineStr">
        <is>
          <t>Conferido: src/routes/relatorio-bateria.$assessmentId.tsx (uma seção por parte, campos done_parts/pending_titles) + src/routes/api.public.report-bateria.$id.ts + SourceBadge "Derivado do seu</t>
        </is>
      </c>
    </row>
    <row r="200">
      <c r="A200" s="9" t="n">
        <v>199</v>
      </c>
      <c r="B200" s="9" t="inlineStr">
        <is>
          <t>Remarcar e cancelar refletindo no Google</t>
        </is>
      </c>
      <c r="C200" s="9" t="inlineStr">
        <is>
          <t>Fecha a lacuna em que só o agendamento inicial ia para o Google.</t>
        </is>
      </c>
      <c r="D200" s="9" t="inlineStr">
        <is>
          <t>Agenda</t>
        </is>
      </c>
      <c r="E200" s="9" t="inlineStr">
        <is>
          <t>Concluído</t>
        </is>
      </c>
      <c r="F200" s="9" t="n">
        <v>199</v>
      </c>
      <c r="G200" s="9" t="inlineStr">
        <is>
          <t>Claude</t>
        </is>
      </c>
      <c r="H200" s="9" t="inlineStr">
        <is>
          <t>git log e7fce41</t>
        </is>
      </c>
      <c r="I200" s="9" t="inlineStr">
        <is>
          <t>Varredura completa do Claude Code, 03/08 (11 áreas, 237 demandas), cruzada com a varredura independente do chat. A capacidade de remarcar/cancelar refletindo no Google NÃO existe hoje — virou a demanda #238, com dois compromissos fantasma já confirmados na agenda do Matheus.</t>
        </is>
      </c>
    </row>
    <row r="201">
      <c r="A201" s="9" t="n">
        <v>200</v>
      </c>
      <c r="B201" s="9" t="inlineStr">
        <is>
          <t>Reteste autorizado com histórico</t>
        </is>
      </c>
      <c r="C201" s="9" t="inlineStr">
        <is>
          <t>Cada autorização cria uma nova aplicação encadeada à anterior, com selo de 'Nª aplicação'; nada é sobrescrito.</t>
        </is>
      </c>
      <c r="D201" s="9" t="inlineStr">
        <is>
          <t>Testes</t>
        </is>
      </c>
      <c r="E201" s="9" t="inlineStr">
        <is>
          <t>Concluído</t>
        </is>
      </c>
      <c r="F201" s="9" t="n">
        <v>200</v>
      </c>
      <c r="G201" s="9" t="inlineStr">
        <is>
          <t>Claude</t>
        </is>
      </c>
      <c r="H201" s="9" t="inlineStr">
        <is>
          <t>roadmap-proximas-features.md item 4 · git log 337d710</t>
        </is>
      </c>
      <c r="I201" s="9" t="inlineStr">
        <is>
          <t>Conferido: supabase/migrations/20260728020000_reteste_com_historico.sql (attempt + previous_response_id em test_responses; attempt + previous_assessment_id em assessment_responses; índices da</t>
        </is>
      </c>
    </row>
    <row r="202">
      <c r="A202" s="9" t="n">
        <v>201</v>
      </c>
      <c r="B202" s="9" t="inlineStr">
        <is>
          <t>Revisão das perguntas dos 6 instrumentos</t>
        </is>
      </c>
      <c r="C202" s="9" t="inlineStr">
        <is>
          <t>A ordem fixa D,I,S,C fazia quem clicava na primeira alternativa sair com perfil D puro; alternativas de peso social parecido e ordem embaralhada.</t>
        </is>
      </c>
      <c r="D202" s="9" t="inlineStr">
        <is>
          <t>Conteúdo</t>
        </is>
      </c>
      <c r="E202" s="9" t="inlineStr">
        <is>
          <t>Concluído</t>
        </is>
      </c>
      <c r="F202" s="9" t="n">
        <v>201</v>
      </c>
      <c r="G202" s="9" t="inlineStr">
        <is>
          <t>Claude</t>
        </is>
      </c>
      <c r="H202" s="9" t="inlineStr">
        <is>
          <t>revisao-perguntas-dos-testes.md · git log f760283</t>
        </is>
      </c>
      <c r="I202" s="9" t="inlineStr">
        <is>
          <t>Conferido: Commit f760283 + 5 migrações aplicadas (20260729080000_disc / 090000_valores / 100000_temperamentos / 110000_vak / 120000_mbti) + scripts/conteudo_*.py com os asserts de equilíbrio</t>
        </is>
      </c>
    </row>
    <row r="203">
      <c r="A203" s="9" t="n">
        <v>202</v>
      </c>
      <c r="B203" s="9" t="inlineStr">
        <is>
          <t>Selo de confiabilidade da resposta e itens invertidos</t>
        </is>
      </c>
      <c r="C203" s="9" t="inlineStr">
        <is>
          <t>O motor entende frases invertidas e marca respostas contraditórias, sem variação ou rápidas demais.</t>
        </is>
      </c>
      <c r="D203" s="9" t="inlineStr">
        <is>
          <t>Testes</t>
        </is>
      </c>
      <c r="E203" s="9" t="inlineStr">
        <is>
          <t>Concluído</t>
        </is>
      </c>
      <c r="F203" s="9" t="n">
        <v>202</v>
      </c>
      <c r="G203" s="9" t="inlineStr">
        <is>
          <t>Claude</t>
        </is>
      </c>
      <c r="H203" s="9" t="inlineStr">
        <is>
          <t>git log e5d4e2a · CLAUDE.md § Relatórios</t>
        </is>
      </c>
      <c r="I203" s="9" t="inlineStr">
        <is>
          <t>Conferido: src/routes/api.public.response.$id.ts:226 (`const ehInvertida = cfg.reverse === true`), :407-514 (medirQualidade: consistência por config.check_group, ausência de variação e ritmo)</t>
        </is>
      </c>
    </row>
    <row r="204">
      <c r="A204" s="9" t="n">
        <v>203</v>
      </c>
      <c r="B204" s="9" t="inlineStr">
        <is>
          <t>Selo de confiabilidade no topo do painel</t>
        </is>
      </c>
      <c r="C204" s="9" t="inlineStr">
        <is>
          <t>A ressalva aparece antes dos números, para o mentor saber se a pessoa respondeu no automático.</t>
        </is>
      </c>
      <c r="D204" s="9" t="inlineStr">
        <is>
          <t>Relatórios</t>
        </is>
      </c>
      <c r="E204" s="9" t="inlineStr">
        <is>
          <t>Concluído</t>
        </is>
      </c>
      <c r="F204" s="9" t="n">
        <v>203</v>
      </c>
      <c r="G204" s="9" t="inlineStr">
        <is>
          <t>Claude</t>
        </is>
      </c>
      <c r="H204" s="9" t="inlineStr">
        <is>
          <t>docs/plano-painel-devolutiva.md § 4 Fase 1</t>
        </is>
      </c>
      <c r="I204" s="9" t="inlineStr">
        <is>
          <t>Varredura completa do Claude Code, 03/08 (11 áreas, 237 demandas), cruzada com a varredura independente do chat. ÓRFÃ: o objeto desta demanda (o painel de devolutiva) foi apagado em 31/07, quando o menu Mentorias substituiu Devolutivas. Não há mais o que fazer nem o que decidir. Registro mantido para o histórico não mentir sobre o que já foi planejado.</t>
        </is>
      </c>
    </row>
    <row r="205">
      <c r="A205" s="9" t="n">
        <v>204</v>
      </c>
      <c r="B205" s="9" t="inlineStr">
        <is>
          <t>Selo separado da marca, chave de dados e Ranking fora</t>
        </is>
      </c>
      <c r="C205" s="9" t="inlineStr">
        <is>
          <t>Três itens da lista de pendências: campo próprio para o selo, chave 'Meus dados para o grupo' movida e menu Ranking removido do painel do aluno.</t>
        </is>
      </c>
      <c r="D205" s="9" t="inlineStr">
        <is>
          <t>Plataforma</t>
        </is>
      </c>
      <c r="E205" s="9" t="inlineStr">
        <is>
          <t>Concluído</t>
        </is>
      </c>
      <c r="F205" s="9" t="n">
        <v>204</v>
      </c>
      <c r="G205" s="9" t="inlineStr">
        <is>
          <t>Claude</t>
        </is>
      </c>
      <c r="H205" s="9" t="inlineStr">
        <is>
          <t>git log 120d307</t>
        </is>
      </c>
      <c r="I205" s="9" t="inlineStr">
        <is>
          <t>Conferido: supabase/migrations/20260730120000_selo_separado.sql (ADD company_seal_name, DROP company_footer_public e company_address, UPDATE devolvendo a marca) + src/routes/aluno.perfil.tsx:</t>
        </is>
      </c>
    </row>
    <row r="206">
      <c r="A206" s="9" t="n">
        <v>205</v>
      </c>
      <c r="B206" s="9" t="inlineStr">
        <is>
          <t>Sino de notificações</t>
        </is>
      </c>
      <c r="C206" s="9" t="inlineStr">
        <is>
          <t>Tabela notificacoes com gatilhos no banco e sino no cabeçalho; três regras de quem vê o quê, moradas no banco e não na tela.</t>
        </is>
      </c>
      <c r="D206" s="9" t="inlineStr">
        <is>
          <t>Infra</t>
        </is>
      </c>
      <c r="E206" s="9" t="inlineStr">
        <is>
          <t>Concluído</t>
        </is>
      </c>
      <c r="F206" s="9" t="n">
        <v>205</v>
      </c>
      <c r="G206" s="9" t="inlineStr">
        <is>
          <t>Claude</t>
        </is>
      </c>
      <c r="H206" s="9" t="inlineStr">
        <is>
          <t>docs/plano-area-do-aluno.md § Anexo 2 itens 1-3 · feature-notificacoes.md · git log c39586c</t>
        </is>
      </c>
      <c r="I206" s="9" t="inlineStr">
        <is>
          <t>Conferido: supabase/migrations/20260730030000_notificacoes.sql (tabela notificacoes + função notificar() SECURITY DEFINER com as 3 regras no UNION); src/components/sino.tsx; src/lib/notificac</t>
        </is>
      </c>
    </row>
    <row r="207">
      <c r="A207" s="9" t="n">
        <v>206</v>
      </c>
      <c r="B207" s="9" t="inlineStr">
        <is>
          <t>Telefone obrigatório no link aberto</t>
        </is>
      </c>
      <c r="C207" s="9" t="inlineStr">
        <is>
          <t>O formulário passou a pedir nome, e-mail e telefone, gravado em people.phone.</t>
        </is>
      </c>
      <c r="D207" s="9" t="inlineStr">
        <is>
          <t>Testes</t>
        </is>
      </c>
      <c r="E207" s="9" t="inlineStr">
        <is>
          <t>Concluído</t>
        </is>
      </c>
      <c r="F207" s="9" t="n">
        <v>206</v>
      </c>
      <c r="G207" s="9" t="inlineStr">
        <is>
          <t>Claude</t>
        </is>
      </c>
      <c r="H207" s="9" t="inlineStr">
        <is>
          <t>roadmap-proximas-features.md item 6 · git log 93721ba</t>
        </is>
      </c>
      <c r="I207" s="9" t="inlineStr">
        <is>
          <t>Conferido: src/routes/api.public.invite.$id.ts (joinSchema com `phone: z.string().trim().min(8).max(40)` e phone no insert de people) + src/routes/convite.$linkId.tsx:154-157 (campo type="tel</t>
        </is>
      </c>
    </row>
    <row r="208">
      <c r="A208" s="9" t="n">
        <v>207</v>
      </c>
      <c r="B208" s="9" t="inlineStr">
        <is>
          <t>Tema claro / escuro</t>
        </is>
      </c>
      <c r="C208" s="9" t="inlineStr">
        <is>
          <t>Claro, escuro ou igual ao sistema, com preferência no localStorage e script anti-piscada; PRINT_CSS força tokens claros na impressão.</t>
        </is>
      </c>
      <c r="D208" s="9" t="inlineStr">
        <is>
          <t>Plataforma</t>
        </is>
      </c>
      <c r="E208" s="9" t="inlineStr">
        <is>
          <t>Concluído</t>
        </is>
      </c>
      <c r="F208" s="9" t="n">
        <v>207</v>
      </c>
      <c r="G208" s="9" t="inlineStr">
        <is>
          <t>Claude</t>
        </is>
      </c>
      <c r="H208" s="9" t="inlineStr">
        <is>
          <t>feature-tema-fotos-e-ver-como-aluno.md · git log a763af5</t>
        </is>
      </c>
      <c r="I208" s="9" t="inlineStr">
        <is>
          <t>Conferido: src/lib/theme.tsx:25 SCRIPT_ANTI_PISCADA (lê localStorage antes da hidratação e aplica a classe dark), modos claro/escuro/sistema em :31-58, injetado em src/routes/__root.tsx:15; P</t>
        </is>
      </c>
    </row>
    <row r="209">
      <c r="A209" s="9" t="n">
        <v>208</v>
      </c>
      <c r="B209" s="9" t="inlineStr">
        <is>
          <t>Testes enriquecidos de 12 para 24 blocos</t>
        </is>
      </c>
      <c r="C209" s="9" t="inlineStr">
        <is>
          <t>VAK, Temperamentos e Valores ganharam 36 blocos novos, com escolha forçada e temas neutros em desejabilidade social.</t>
        </is>
      </c>
      <c r="D209" s="9" t="inlineStr">
        <is>
          <t>Conteúdo</t>
        </is>
      </c>
      <c r="E209" s="9" t="inlineStr">
        <is>
          <t>Concluído</t>
        </is>
      </c>
      <c r="F209" s="9" t="n">
        <v>208</v>
      </c>
      <c r="G209" s="9" t="inlineStr">
        <is>
          <t>Claude</t>
        </is>
      </c>
      <c r="H209" s="9" t="inlineStr">
        <is>
          <t>avaliacao-bateria-e-relatorios.md § Outros achados</t>
        </is>
      </c>
      <c r="I209" s="9" t="inlineStr">
        <is>
          <t>Conferido: Estado final provado nas migrações: 24 blocos forced_choice em 20260729110000_vak_blocos_revisados.sql, 28 em 20260729100000_temperamentos, 30 em 20260729090000_valores (o CLAUDE.m</t>
        </is>
      </c>
    </row>
    <row r="210">
      <c r="A210" s="9" t="n">
        <v>209</v>
      </c>
      <c r="B210" s="9" t="inlineStr">
        <is>
          <t>marcarPresencaManual passou a validar a pessoa</t>
        </is>
      </c>
      <c r="C210" s="9" t="inlineStr">
        <is>
          <t>A policy só conferia a aula e o person_id vinha do cliente; com pontos por service role isso virava escrita na conta de outro aluno.</t>
        </is>
      </c>
      <c r="D210" s="9" t="inlineStr">
        <is>
          <t>Classroom</t>
        </is>
      </c>
      <c r="E210" s="9" t="inlineStr">
        <is>
          <t>Concluído</t>
        </is>
      </c>
      <c r="F210" s="9" t="n">
        <v>209</v>
      </c>
      <c r="G210" s="9" t="inlineStr">
        <is>
          <t>Claude</t>
        </is>
      </c>
      <c r="H210" s="9" t="inlineStr">
        <is>
          <t>estado-atual-e-fila.md § Pontos (etapa 6)</t>
        </is>
      </c>
      <c r="I210" s="9" t="inlineStr">
        <is>
          <t>Conferido: src/lib/classroom.functions.ts:1049-1076 — o comentário nomeia o furo ('A policy pres_professor só valida aula_id — person_id vem do cliente e nunca era conferido') e a checagem re</t>
        </is>
      </c>
    </row>
    <row r="211">
      <c r="A211" s="9" t="n">
        <v>210</v>
      </c>
      <c r="B211" s="9" t="inlineStr">
        <is>
          <t>Aluno logado caía no painel do mentor</t>
        </is>
      </c>
      <c r="C211" s="9" t="inlineStr">
        <is>
          <t>O guard de _app testava `"to" in e` para saber se a exceção era um redirect; o objeto do TanStack tem o `to` um nível abaixo (options.to). O catch engolia o próprio redirect e o aluno via 'Novo Envio', 'Ver como aluno' e 'Ranking geral'.</t>
        </is>
      </c>
      <c r="D211" s="9" t="inlineStr">
        <is>
          <t>Plataforma</t>
        </is>
      </c>
      <c r="E211" s="9" t="inlineStr">
        <is>
          <t>Concluído</t>
        </is>
      </c>
      <c r="F211" s="9" t="n">
        <v>210</v>
      </c>
      <c r="G211" s="9" t="inlineStr">
        <is>
          <t>Claude</t>
        </is>
      </c>
      <c r="H211" s="9" t="inlineStr">
        <is>
          <t>achado no teste com login de aluno real, 30/07</t>
        </is>
      </c>
      <c r="I211" s="9" t="inlineStr">
        <is>
          <t>Corrigido com isRedirect(); fallback passou a mandar para /aluno. Conferido na tela com a conta de teste.</t>
        </is>
      </c>
    </row>
    <row r="212">
      <c r="A212" s="9" t="n">
        <v>211</v>
      </c>
      <c r="B212" s="9" t="inlineStr">
        <is>
          <t>Comunidade vazia para todo aluno real</t>
        </is>
      </c>
      <c r="C212" s="9" t="inlineStr">
        <is>
          <t>As policies de SELECT de groups e group_members só tinham o ramo da equipe. O aluno não lia o próprio grupo, então a comunidade, a aba Membros e o ranking do grupo ficavam vazios.</t>
        </is>
      </c>
      <c r="D212" s="9" t="inlineStr">
        <is>
          <t>Comunidade</t>
        </is>
      </c>
      <c r="E212" s="9" t="inlineStr">
        <is>
          <t>Concluído</t>
        </is>
      </c>
      <c r="F212" s="9" t="n">
        <v>211</v>
      </c>
      <c r="G212" s="9" t="inlineStr">
        <is>
          <t>Claude</t>
        </is>
      </c>
      <c r="H212" s="9" t="inlineStr">
        <is>
          <t>achado no teste com login de aluno real, 30/07</t>
        </is>
      </c>
      <c r="I212" s="9" t="inlineStr">
        <is>
          <t>Corrigido usando posso_ver_grupo() nas duas policies. Conferido: aluno vê só o grupo dele, dono continua vendo os três, comunidade abre com feed, ranking e membros.</t>
        </is>
      </c>
    </row>
    <row r="213">
      <c r="A213" s="9" t="n">
        <v>212</v>
      </c>
      <c r="B213" s="9" t="inlineStr">
        <is>
          <t>Construtor de testes (tipo Google Forms)</t>
        </is>
      </c>
      <c r="C213" s="9" t="inlineStr">
        <is>
          <t>Transformar o menu Testes num construtor: secoes, perguntas e varios formatos de resposta; interpretacao OPCIONAL por chavinha (ligada gera perfil/relatorio, desligada e coleta pura tipo pesquisa de satisfacao); painel de respostas com visao agregada e individual. Arquitetura decidida: REAPROVEITAR o menu existente, DISC/MBTI viram templates, botao 'criar novo teste' ao lado. Nada de menu novo.</t>
        </is>
      </c>
      <c r="D213" s="9" t="inlineStr">
        <is>
          <t>Testes</t>
        </is>
      </c>
      <c r="E213" s="9" t="inlineStr">
        <is>
          <t>Planejado</t>
        </is>
      </c>
      <c r="F213" s="9" t="n">
        <v>212</v>
      </c>
      <c r="G213" s="9" t="inlineStr">
        <is>
          <t>Claude</t>
        </is>
      </c>
      <c r="H213" s="9" t="inlineStr">
        <is>
          <t>Lembretes do iPhone, 30/07 21:39 (chat C1)</t>
        </is>
      </c>
      <c r="I213" s="9" t="inlineStr">
        <is>
          <t>Fase 4 do docs/roadmap-fases.md. Absorve a demanda 'Selecao pergunta a pergunta ao montar a bateria' e depende do BUG do select 'Dimensao pontuada' estar resolvido.</t>
        </is>
      </c>
    </row>
    <row r="214">
      <c r="A214" s="9" t="n">
        <v>213</v>
      </c>
      <c r="B214" s="9" t="inlineStr">
        <is>
          <t>Menu Mentorias — Fatia 1: o ciclo completo</t>
        </is>
      </c>
      <c r="C214" s="9" t="inlineStr">
        <is>
          <t>Devolutivas sai do menu Testes e vira o menu Mentorias, de primeiro nível. FATIA 1 (indivisível): criar pacote de sessões, agendar sessão à mão (presencial/online, endereço/link), marcar concluída, cartão de pós-mentoria (duração real, resumo, checklist nomeável) e painel do aluno vendo tudo e marcando só o checklist. Spec completa em docs/plano-mentorias.md.</t>
        </is>
      </c>
      <c r="D214" s="9" t="inlineStr">
        <is>
          <t>Plataforma</t>
        </is>
      </c>
      <c r="E214" s="9" t="inlineStr">
        <is>
          <t>Concluído</t>
        </is>
      </c>
      <c r="F214" s="9" t="n">
        <v>213</v>
      </c>
      <c r="G214" s="9" t="inlineStr">
        <is>
          <t>Matheus</t>
        </is>
      </c>
      <c r="H214" s="9" t="inlineStr">
        <is>
          <t>Lembretes do iPhone, 30/07 21:43 (chat C1)</t>
        </is>
      </c>
      <c r="I214" s="9" t="inlineStr">
        <is>
          <t>NO AR e provado em produção com login real, nos 7 pontos da seção 5 do docs/plano-mentorias.md: a conta do pacote se calcula sozinha (0 realizadas · 1 agendada · 2 a agendar), o professor conclui informando duração e resumo, o ALUNO vê o resumo e o checklist (o teste que decidia), o aluno marca e o professor enxerga, o aluno é BARRADO ao colar a rota do professor, o colaborador sem a permissão não vê menu nem rota, e aumentar o pacote de 3 para 5 reajusta a conta. Commits f10314a e 290883b. Migração aplicada em 9 blocos pelo Chrome via monaco.setValue (colar pelo clipboard corrompia acento). CONFERIDO POR FORA pelo chat: tabela devolutivas apagada, função posso_agendar_devolutiva removida, contas de teste limpas (7 pessoas reais, 1 colaborador), git em dia. CUSTO: a produção caiu — o login parou enquanto a permissão era renomeada no banco com o código antigo ainda no ar. Deu origem à regra 5 da constituição.</t>
        </is>
      </c>
    </row>
    <row r="215">
      <c r="A215" s="9" t="n">
        <v>214</v>
      </c>
      <c r="B215" s="9" t="inlineStr">
        <is>
          <t>Auditar o dono do dado em tudo que ja existe</t>
        </is>
      </c>
      <c r="C215" s="9" t="inlineStr">
        <is>
          <t>Mapear as tabelas ja construidas e identificar onde falta o campo de proprietario. Cirurgia planejada, um pedaco por vez, sem parar o resto. Nao e urgente enquanto so o Matheus usa (nao ha segundo cliente, logo nao ha risco de vazamento entre clientes) — e preparacao para virar SaaS.</t>
        </is>
      </c>
      <c r="D215" s="9" t="inlineStr">
        <is>
          <t>Infra</t>
        </is>
      </c>
      <c r="E215" s="9" t="inlineStr">
        <is>
          <t>Planejado</t>
        </is>
      </c>
      <c r="F215" s="9" t="n">
        <v>214</v>
      </c>
      <c r="G215" s="9" t="inlineStr">
        <is>
          <t>Claude</t>
        </is>
      </c>
      <c r="H215" s="9" t="inlineStr">
        <is>
          <t>Lembretes do iPhone, 30/07 21:54 (chat C1)</t>
        </is>
      </c>
      <c r="I215" s="9" t="inlineStr">
        <is>
          <t>Fase 6 do docs/roadmap-fases.md. A regra para dados NOVOS ja esta gravada na Constituicao do CLAUDE.md; esta demanda e so o passivo do que ja existe.</t>
        </is>
      </c>
    </row>
    <row r="216">
      <c r="A216" s="9" t="n">
        <v>215</v>
      </c>
      <c r="B216" s="9" t="inlineStr">
        <is>
          <t>Testar a ponte Claude Design -&gt; Claude Code</t>
        </is>
      </c>
      <c r="C216" s="9" t="inlineStr">
        <is>
          <t>Ao vivo, com um design real na mao: como trazer o link do design pro chat para discutir, e como importar o desenho direto para a construcao. Nao teorizar antes — fazer quando ele for mexer.</t>
        </is>
      </c>
      <c r="D216" s="9" t="inlineStr">
        <is>
          <t>Plataforma</t>
        </is>
      </c>
      <c r="E216" s="9" t="inlineStr">
        <is>
          <t>Planejado</t>
        </is>
      </c>
      <c r="F216" s="9" t="n">
        <v>215</v>
      </c>
      <c r="G216" s="9" t="inlineStr">
        <is>
          <t>Matheus</t>
        </is>
      </c>
      <c r="H216" s="9" t="inlineStr">
        <is>
          <t>Lembretes do iPhone, 30/07 21:49 (chat C1)</t>
        </is>
      </c>
      <c r="I216" s="9" t="inlineStr">
        <is>
          <t>Fora de fase no docs/roadmap-fases.md: e do fluxo de trabalho dele (cabeca -&gt; chat -&gt; design -&gt; construcao), nao da plataforma.</t>
        </is>
      </c>
    </row>
    <row r="217">
      <c r="A217" s="9" t="n">
        <v>216</v>
      </c>
      <c r="B217" s="9" t="inlineStr">
        <is>
          <t>Fechar os outros três buckets públicos (marca, eventos, comunidade)</t>
        </is>
      </c>
      <c r="C217" s="9" t="inlineStr">
        <is>
          <t>Mesma raiz de biblioteca e avatares: marca (logo), eventos (banner) e comunidade (anexo de post) continuam públicos — quem tem o link continua vendo depois de qualquer trancamento. Cada um precisa da mesma varredura tela a tela antes de fechar, porque fechar antes das telas assinarem faz a imagem sumir.</t>
        </is>
      </c>
      <c r="D217" s="9" t="inlineStr">
        <is>
          <t>Infra</t>
        </is>
      </c>
      <c r="E217" s="9" t="inlineStr">
        <is>
          <t>Concluído</t>
        </is>
      </c>
      <c r="F217" s="9" t="n">
        <v>216</v>
      </c>
      <c r="G217" s="9" t="inlineStr">
        <is>
          <t>Claude</t>
        </is>
      </c>
      <c r="H217" s="9" t="inlineStr">
        <is>
          <t>Varredura do Claude Code ao fechar biblioteca e avatares, 31/07</t>
        </is>
      </c>
      <c r="I217" s="9" t="inlineStr">
        <is>
          <t>Feito e provado em produção 01/08. Migração aditiva primeiro (assinatura de URL nos 10 pontos de leitura/preview: perfil/marca, e-mail, presença, agenda, comunidade, configurações), publicado e confirmado no ar pelo hash do commit (f433f83), só então a migração que fecha os buckets (public=false + DROP das 3 policies marca_leitura_publica, eventos_img_read, comunidade_leitura). Reprovado com login real DEPOIS do fechamento: logo da marca, imagem do evento e anexo de post continuam carregando (naturalWidth&gt;0) pelo link assinado /storage/v1/object/sign/..., não mais pelo link público antigo. Dados de teste apagados (posts, evento, grupo, perfil, os 3 arquivos e a conta), sessão do navegador de teste derrubada e confirmada (recarregar joga para a tela de login). Achado no caminho: o logo usado no e-mail de convite precisa de um prazo de validade maior que os outros (e-mail já enviado não recarrega a imagem) — usei 30 dias de validade só para esse caso.</t>
        </is>
      </c>
    </row>
    <row r="218">
      <c r="A218" s="9" t="n">
        <v>217</v>
      </c>
      <c r="B218" s="9" t="inlineStr">
        <is>
          <t>Banco separado para desenvolvimento</t>
        </is>
      </c>
      <c r="C218" s="9" t="inlineStr">
        <is>
          <t>Local e produção usam o mesmo banco Supabase. Toda mudança de banco atinge a produção no instante em que roda, mesmo com o código novo ainda parado no computador. DERRUBOU A PLATAFORMA DUAS VEZES EM 24H: imagem quebrada em 30/07 ao fechar os buckets, e o LOGIN quebrado em 31/07 ao renomear a permissão durante a migração do menu Mentorias. Criar um segundo projeto Supabase para desenvolvimento, com o mesmo schema e dados de teste, e apontar o .env.local para ele.</t>
        </is>
      </c>
      <c r="D218" s="9" t="inlineStr">
        <is>
          <t>Infra</t>
        </is>
      </c>
      <c r="E218" s="9" t="inlineStr">
        <is>
          <t>Planejado</t>
        </is>
      </c>
      <c r="F218" s="9" t="n">
        <v>217</v>
      </c>
      <c r="G218" s="9" t="inlineStr">
        <is>
          <t>Claude</t>
        </is>
      </c>
      <c r="H218" s="9" t="inlineStr">
        <is>
          <t>Tropeço em produção durante o fechamento dos buckets, 31/07</t>
        </is>
      </c>
      <c r="I218" s="9" t="inlineStr">
        <is>
          <t>Metade já resolvida em 31/07: a regra 5 da constituição (código no ar antes de banco que muda o que já existe) está gravada no CLAUDE.md e cobre a maioria dos casos sem custo nenhum. Esta demanda é a outra metade — a que resolve TODOS os casos. O que ela exige: criar o projeto, replicar o schema (supabase/estado/schema.sql já existe), semear dados de teste, apontar o .env.local, e decidir como as migrações passam de um para o outro. ATENÇÃO: hoje o .env commitado e o .env.local apontam para o MESMO projeto — foi assim desde a migração de banco. Separar exige cuidado para não repetir o cutover que já quebrou o login Google uma vez (ver memória publicacao-exige-cutover).</t>
        </is>
      </c>
    </row>
    <row r="219">
      <c r="A219" s="9" t="n">
        <v>218</v>
      </c>
      <c r="B219" s="9" t="inlineStr">
        <is>
          <t>Configurações da plataforma só o dono acessa</t>
        </is>
      </c>
      <c r="C219" s="9" t="inlineStr">
        <is>
          <t>'configuracoes' está na lista PERMISSOES (src/lib/team.functions.ts:21) como permissão delegável, ao lado de pessoas/grupos/testes. Um colaborador com todas as permissões pode trocar a marca, o logo, o nome da empresa e o e-mail de suporte — coisas que desconfiguram a plataforma inteira para todo mundo. Nenhum papel além do dono (colaborador, mentor convidado, aluno) pode alcançar isso. Não basta esconder o menu: a rota e as server functions têm de negar.</t>
        </is>
      </c>
      <c r="D219" s="9" t="inlineStr">
        <is>
          <t>Equipe / Permissões</t>
        </is>
      </c>
      <c r="E219" s="9" t="inlineStr">
        <is>
          <t>Concluído</t>
        </is>
      </c>
      <c r="F219" s="9" t="n">
        <v>218</v>
      </c>
      <c r="G219" s="9" t="inlineStr">
        <is>
          <t>Claude</t>
        </is>
      </c>
      <c r="H219" s="9" t="inlineStr">
        <is>
          <t>Matheus, 31/07: criou o colaborador 'sucesso do aluno' com todas as permissões e viu que ele alcança Configurações</t>
        </is>
      </c>
      <c r="I219" s="9" t="inlineStr">
        <is>
          <t>Trancado por dois lados. (1) 'configuracoes' saiu de PERMISSOES (era o 8º item, ao lado de pessoas/grupos/testes) e a migração 20260731120000_configuracoes_so_dono.sql tirou a permissão de quem já tinha em produção — o colaborador 'Sucesso do Aluno' ficou com as outras 7. (2) A tela e as server functions de Marca/Relatório/Mensagens/Emails/Agenda agora exigem member_kind()='owner' (exigirDono), tanto na rota quanto em cada function que grava — upsertConfiguracoesConta, getEmailStatus/listEmailLogs/sendTestEmail, estadoDoGoogle/iniciarConexaoGoogle/desconectarGoogle. 'Perfil' (nome+foto) foi separado antes de trancar: é genuinamente pessoal e continua aberto a qualquer logado, via upsertMyProfile com schema próprio (perfilPessoalSchema). Provado com login real: colaborador com as 7 permissões vê só 'Meu perfil' no menu e é negado ao chamar upsertConfiguracoesConta direto no servidor ('Só o dono da conta pode gerenciar a equipe'); mentor convidado idem; dono continua vendo as 6 abas e salvando normalmente, marca real (INTENÇÃO ASSESSEMENT, #00b0f0) confirmada intacta depois de todos os testes. Achado de passagem (item 6 do pedido): learning.functions.ts (Academy) tinha os 10 writes sem nenhuma checagem de permissão — mesmo buraco que biblioteca.functions.ts tinha antes desta sessão; fechado com exigirPermissao(...,'educacao'). Commit 466a5b1 (31/07).</t>
        </is>
      </c>
    </row>
    <row r="220">
      <c r="A220" s="9" t="n">
        <v>219</v>
      </c>
      <c r="B220" s="9" t="inlineStr">
        <is>
          <t>A marca do dono não chega ao aluno, mentor e colaborador</t>
        </is>
      </c>
      <c r="C220" s="9" t="inlineStr">
        <is>
          <t>Mudar logo, nome e cor nas Configurações só muda a tela do dono. A causa: loadBrandAndSettings busca profiles pelo user_id de QUEM ESTÁ LOGADO, e aluno, colaborador e mentor têm perfil próprio sem marca — caem no padrão da plataforma. A marca tem de vir sempre do DONO da conta (acting_account()), em todo painel e todo papel. REGRA: o master mudou, muda para todos, na hora.</t>
        </is>
      </c>
      <c r="D220" s="9" t="inlineStr">
        <is>
          <t>Plataforma</t>
        </is>
      </c>
      <c r="E220" s="9" t="inlineStr">
        <is>
          <t>Concluído</t>
        </is>
      </c>
      <c r="F220" s="9" t="n">
        <v>219</v>
      </c>
      <c r="G220" s="9" t="inlineStr">
        <is>
          <t>Claude</t>
        </is>
      </c>
      <c r="H220" s="9" t="inlineStr">
        <is>
          <t>Matheus, 31/07: mudou a marca no master e o painel do aluno continuou com a antiga</t>
        </is>
      </c>
      <c r="I220" s="9" t="inlineStr">
        <is>
          <t>FEITO E EM PRODUÇÃO. Causa: BrandProvider (sidebar/cabeçalho de quem está logado) buscava profiles pelo user_id de QUEM ESTAVA LOGADO (getMyProfile) — colaborador, mentor convidado e aluno têm perfil próprio sem marca nenhuma, caíam sempre no padrão da plataforma. Só o dono via a marca certa, porque para ele "meu perfil" e "conta" são a mesma linha. Conserto: getAccountBrand (nova, data.functions.ts) resolve o DONO de verdade antes de buscar a marca — usa membershipDoUsuario (mesma fonte de getMyMembership) para achar a conta de mentor/colaborador, e só para aluno puro busca o mentor em people.mentor_id (acting_account() sozinha não serve: só conhece team_members, devolveria o próprio id do aluno). Reaproveita loadBrandAndSettings, a mesma função das páginas públicas. /aluno tinha bug à parte: as 3 &lt;BrandMark /&gt; do layout nunca recebiam brand nenhum — nem existia BrandProvider ali. Ligado. PROVADO com login real, local e depois em produção: dono vê a própria marca; colaborador, mentor convidado e aluno (o papel que motivou a demanda) passam a ver a marca do DONO em vez do padrão da plataforma; link público (convite, sem login) continua mostrando a marca do mentor do link, intacto — não foi tocado. Dono que também é avaliado em outra conta (caso real já existente) continua vendo a PRÓPRIA marca, não a de quem o avalia. Dados de teste apagados e sessões derrubadas ao final. #235 (ícone/manifest) pode começar agora que esta está pronta. Commit 1b3cb50 (03/08), publicado e conferido no ar.</t>
        </is>
      </c>
    </row>
    <row r="221">
      <c r="A221" s="9" t="n">
        <v>220</v>
      </c>
      <c r="B221" s="9" t="inlineStr">
        <is>
          <t>Painel de engajamento: quem está sumindo</t>
        </is>
      </c>
      <c r="C221" s="9" t="inlineStr">
        <is>
          <t>Tela que mostra atividade e engajamento por aluno e por grupo: presença nas aulas, testes respondidos, progresso nas trilhas, último acesso. O objetivo não é medir por medir — é o mentor perceber que alguém está sumindo ANTES de perder a pessoa.</t>
        </is>
      </c>
      <c r="D221" s="9" t="inlineStr">
        <is>
          <t>Academy</t>
        </is>
      </c>
      <c r="E221" s="9" t="inlineStr">
        <is>
          <t>Concluído</t>
        </is>
      </c>
      <c r="F221" s="9" t="n">
        <v>220</v>
      </c>
      <c r="G221" s="9" t="inlineStr">
        <is>
          <t>Claude</t>
        </is>
      </c>
      <c r="H221" s="9" t="inlineStr">
        <is>
          <t>Matheus, 31/07: rodada de perguntas sobre o futuro da plataforma</t>
        </is>
      </c>
      <c r="I221" s="9" t="inlineStr">
        <is>
          <t>ABSORVIDA pela #237 em 01/08, por decisão do Matheus: o painel de engajamento passa a ser uma função dentro do menu Dashboard, não uma tela própria. O conteúdo sobrevive inteiro na spec (docs/plano-dashboard.md, seção 'O bloco de engajamento'), com o critério proposto: sem nenhuma atividade há mais de 14 dias. Registro fechado aqui para não haver duas demandas para a mesma tela.</t>
        </is>
      </c>
    </row>
    <row r="222">
      <c r="A222" s="9" t="n">
        <v>221</v>
      </c>
      <c r="B222" s="9" t="inlineStr">
        <is>
          <t>Certificado de conclusão com verificação pública</t>
        </is>
      </c>
      <c r="C222" s="9" t="inlineStr">
        <is>
          <t>Emitir certificado quando o aluno concluir uma trilha da Academy ou um treinamento do Classroom. Precisa de três coisas: a regra do que conta como concluído, o desenho do certificado, e um código de verificação — página pública onde a empresa confere se aquele certificado é real.</t>
        </is>
      </c>
      <c r="D222" s="9" t="inlineStr">
        <is>
          <t>Academy</t>
        </is>
      </c>
      <c r="E222" s="9" t="inlineStr">
        <is>
          <t>Planejado</t>
        </is>
      </c>
      <c r="F222" s="9" t="n">
        <v>221</v>
      </c>
      <c r="G222" s="9" t="inlineStr">
        <is>
          <t>Claude</t>
        </is>
      </c>
      <c r="H222" s="9" t="inlineStr">
        <is>
          <t>Matheus, 31/07: rodada de perguntas sobre o futuro da plataforma</t>
        </is>
      </c>
      <c r="I222" s="9" t="inlineStr">
        <is>
          <t>learning_progress já sabe quem terminou o quê, e a plataforma já gera PDF com marca no relatório. Sem a verificação pública, certificado é figurinha — é ela que dá valor.</t>
        </is>
      </c>
    </row>
    <row r="223">
      <c r="A223" s="9" t="n">
        <v>222</v>
      </c>
      <c r="B223" s="9" t="inlineStr">
        <is>
          <t>App do aluno para Android e iOS</t>
        </is>
      </c>
      <c r="C223" s="9" t="inlineStr">
        <is>
          <t>Só a versão do aluno. Três caminhos: PWA (o aluno adiciona à tela de início, funciona hoje com pouco trabalho, não vai às lojas), Capacitor (empacota o mesmo código e publica nas lojas, semanas de trabalho) ou nativo (caro, não se justifica). Recomendação: PWA primeiro, lojas depois se houver demanda.</t>
        </is>
      </c>
      <c r="D223" s="9" t="inlineStr">
        <is>
          <t>Plataforma</t>
        </is>
      </c>
      <c r="E223" s="9" t="inlineStr">
        <is>
          <t>Planejado</t>
        </is>
      </c>
      <c r="F223" s="9" t="n">
        <v>222</v>
      </c>
      <c r="G223" s="9" t="inlineStr">
        <is>
          <t>Claude</t>
        </is>
      </c>
      <c r="H223" s="9" t="inlineStr">
        <is>
          <t>Matheus, 31/07: rodada de perguntas sobre o futuro da plataforma</t>
        </is>
      </c>
      <c r="I223" s="9" t="inlineStr">
        <is>
          <t>⚠️ DECISÃO DE NEGÓCIO ANTES: se o app vender qualquer coisa por dentro, a Apple cobra 15-30% e obriga o pagamento dela. É por isso que plataforma de curso costuma deixar a venda fora do app.</t>
        </is>
      </c>
    </row>
    <row r="224">
      <c r="A224" s="9" t="n">
        <v>223</v>
      </c>
      <c r="B224" s="9" t="inlineStr">
        <is>
          <t>Carteirinha digital do aluno</t>
        </is>
      </c>
      <c r="C224" s="9" t="inlineStr">
        <is>
          <t>Credencial que o aluno apresenta em estabelecimento parceiro para provar nível e obter vantagem. QR code, página pública de validação, nível e foto.</t>
        </is>
      </c>
      <c r="D224" s="9" t="inlineStr">
        <is>
          <t>Academy</t>
        </is>
      </c>
      <c r="E224" s="9" t="inlineStr">
        <is>
          <t>Planejado</t>
        </is>
      </c>
      <c r="F224" s="9" t="n">
        <v>223</v>
      </c>
      <c r="G224" s="9" t="inlineStr">
        <is>
          <t>Claude</t>
        </is>
      </c>
      <c r="H224" s="9" t="inlineStr">
        <is>
          <t>Matheus, 31/07: rodada de perguntas sobre o futuro da plataforma</t>
        </is>
      </c>
      <c r="I224" s="9" t="inlineStr">
        <is>
          <t>É a cara visível do clube de benefícios. SOZINHA vale pouco — bonita e sem uso. Só faz sentido depois de existirem parceiros e níveis de verdade.</t>
        </is>
      </c>
    </row>
    <row r="225">
      <c r="A225" s="9" t="n">
        <v>224</v>
      </c>
      <c r="B225" s="9" t="inlineStr">
        <is>
          <t>Clube de benefícios e jornada de recompensas</t>
        </is>
      </c>
      <c r="C225" s="9" t="inlineStr">
        <is>
          <t>Aluno acumula pontos, alcança níveis e desbloqueia benefícios em parceiros ou dentro do próprio ecossistema. Pontos e ranking já existem; falta níveis, catálogo de benefícios, cadastro de parceiro e validação no balcão.</t>
        </is>
      </c>
      <c r="D225" s="9" t="inlineStr">
        <is>
          <t>Academy</t>
        </is>
      </c>
      <c r="E225" s="9" t="inlineStr">
        <is>
          <t>Planejado</t>
        </is>
      </c>
      <c r="F225" s="9" t="n">
        <v>224</v>
      </c>
      <c r="G225" s="9" t="inlineStr">
        <is>
          <t>Claude</t>
        </is>
      </c>
      <c r="H225" s="9" t="inlineStr">
        <is>
          <t>Matheus, 31/07: rodada de perguntas sobre o futuro da plataforma</t>
        </is>
      </c>
      <c r="I225" s="9" t="inlineStr">
        <is>
          <t>⚠️ É um SEGUNDO PRODUTO, não uma feature. O trabalho difícil é comercial, não técnico: negociar parceiro, desenhar o benefício, operar a validação. A tabela pontos já existe e é a parte fácil.</t>
        </is>
      </c>
    </row>
    <row r="226">
      <c r="A226" s="9" t="n">
        <v>225</v>
      </c>
      <c r="B226" s="9" t="inlineStr">
        <is>
          <t>Integrações externas: pagamento, Notion, Trello, WhatsApp, redes</t>
        </is>
      </c>
      <c r="C226" s="9" t="inlineStr">
        <is>
          <t>Quatro grupos com dificuldades muito diferentes. Notion e Trello: API aberta, fácil. Pagamento (Stripe, Mercado Pago, Asaas): direto, cerca de uma semana. WhatsApp: API oficial da Meta exige empresa verificada, número dedicado e cobra por conversa; o resto do mercado usa gambiarra que a Meta derruba. Redes sociais: publicar por API é muito limitado, o Instagram praticamente não deixa.</t>
        </is>
      </c>
      <c r="D226" s="9" t="inlineStr">
        <is>
          <t>Integrações</t>
        </is>
      </c>
      <c r="E226" s="9" t="inlineStr">
        <is>
          <t>Planejado</t>
        </is>
      </c>
      <c r="F226" s="9" t="n">
        <v>225</v>
      </c>
      <c r="G226" s="9" t="inlineStr">
        <is>
          <t>Claude</t>
        </is>
      </c>
      <c r="H226" s="9" t="inlineStr">
        <is>
          <t>Matheus, 31/07: rodada de perguntas sobre o futuro da plataforma</t>
        </is>
      </c>
      <c r="I226" s="9" t="inlineStr">
        <is>
          <t>Fazer uma a uma, nunca em bloco. Depende da demanda #59 (escopo por chave, uso e revogação), que existe justamente porque integração é chave de terceiro entrando na casa.</t>
        </is>
      </c>
    </row>
    <row r="227">
      <c r="A227" s="9" t="n">
        <v>226</v>
      </c>
      <c r="B227" s="9" t="inlineStr">
        <is>
          <t>Colaborador sem permissão não vê nada daquele menu — nem a leitura</t>
        </is>
      </c>
      <c r="C227" s="9" t="inlineStr">
        <is>
          <t>DECIDIDO pelo Matheus em 31/07: colaborador sem a permissão de uma área não tem acesso a NADA daquela área — nem escrita, nem leitura. Vale para a Academy (trilhas publicadas ou não) e para toda área com o mesmo padrão frouxo: hoje a regra de leitura olha só se o conteúdo é da conta, sem checar permissão. A escrita já foi trancada em 466a5b1; falta a leitura.</t>
        </is>
      </c>
      <c r="D227" s="9" t="inlineStr">
        <is>
          <t>Academy</t>
        </is>
      </c>
      <c r="E227" s="9" t="inlineStr">
        <is>
          <t>Concluído</t>
        </is>
      </c>
      <c r="F227" s="9" t="n">
        <v>226</v>
      </c>
      <c r="G227" s="9" t="inlineStr">
        <is>
          <t>Claude</t>
        </is>
      </c>
      <c r="H227" s="9" t="inlineStr">
        <is>
          <t>Claude Code, 31/07, ao fechar #218 — corrigindo uma presunção anterior dele</t>
        </is>
      </c>
      <c r="I227" s="9" t="inlineStr">
        <is>
          <t>Trancado nas 5 áreas com o mesmo padrão: Academy (listTracks/getTrack), Biblioteca (listarBiblioteca/listarBanners), Comunidade (listarFeed/membrosDosGrupos), Ranking por grupo (rankingDoGrupo) e a Agenda/Gestão da equipe (agendaDoMes, só o ramo sem 'somenteMinhas'). Todas seguem 'equipe da conta vê tudo' na RLS (owner_id = acting_account()), sem noção de permissão por funcionalidade — colaborador sem a permissão entrava pela mesma porta que dono/mentor. exigirPermissaoOuVisitante (permissao.server.ts) fecha isso sem quebrar quem só vê o próprio: owner/mentor/aluno passam direto (RLS já recorta certo pra eles), só colaborador precisa da permissão. getTrackDestinos (só quem edita) levou o exigirPermissao simples. De passagem: criarEvento/excluirEvento diziam 'só o master' no comentário mas não checavam nada — ganharam exigirDono; o CRUD legado de mentors (sem rota ativa) também. Provado com login real, local e em produção: colaborador com as 7 permissões passa em tudo; sem educacao/grupos/devolutivas, negado em tudo (inclusive chamando o servidor direto, conferido pelo corpo da resposta, não só pela tela); aluno de verdade (people.user_id ligado) intacto nas 5 áreas — testado abrindo material real da Biblioteca com URL assinada; mentor igual, e barrado ao tentar a agenda da equipe via chamada direta; dono sem mudança nenhuma, avatar e marca carregando. Commit 320c08b (31/07).</t>
        </is>
      </c>
    </row>
    <row r="228">
      <c r="A228" s="9" t="n">
        <v>227</v>
      </c>
      <c r="B228" s="9" t="inlineStr">
        <is>
          <t>Conta sem vínculo nenhum vira dona de si mesma</t>
        </is>
      </c>
      <c r="C228" s="9" t="inlineStr">
        <is>
          <t>Uma pessoa que cria conta sem nunca ter sido convidada ou cadastrada por ninguém vira 'dona' de uma conta vazia e isolada — e consegue salvar configurações lá dentro. Não vaza nem toca a conta de ninguém: o que ela salva fica só no vazio dela. Mas o comportamento existe e ninguém desenhou.</t>
        </is>
      </c>
      <c r="D228" s="9" t="inlineStr">
        <is>
          <t>Infra</t>
        </is>
      </c>
      <c r="E228" s="9" t="inlineStr">
        <is>
          <t>Planejado</t>
        </is>
      </c>
      <c r="F228" s="9" t="n">
        <v>227</v>
      </c>
      <c r="G228" s="9" t="inlineStr">
        <is>
          <t>Matheus</t>
        </is>
      </c>
      <c r="H228" s="9" t="inlineStr">
        <is>
          <t>Claude Code, 31/07, testando o papel de aluno ao fechar #218</t>
        </is>
      </c>
      <c r="I228" s="9" t="inlineStr">
        <is>
          <t>Confirmado por ele com pessoa de teste sem vínculo: salvou na própria conta isolada; a marca do Matheus ficou intacta. NÃO é brecha da correção #218 nem vazamento — é decisão de arquitetura pendente: o que uma conta 'solta' pode fazer antes de ser convidada por alguém. Vira relevante quando a plataforma abrir cadastro público ou virar SaaS de verdade (regra 2 da constituição). Hoje o acesso nasce de convite, então não há caso real.</t>
        </is>
      </c>
    </row>
    <row r="229">
      <c r="A229" s="9" t="n">
        <v>228</v>
      </c>
      <c r="B229" s="9" t="inlineStr">
        <is>
          <t>Mentorias Fatia 2: a voz do aluno</t>
        </is>
      </c>
      <c r="C229" s="9" t="inlineStr">
        <is>
          <t>Avaliação por estrelas (1-5) ao fim da sessão, comentário do aluno e arquivos anexados ao resumo. Decisões do Matheus em 01/08: estrelas e não NPS (a média é SATISFAÇÃO/CSAT, e deve ser chamada assim — NPS é outra pergunta e outra conta); avaliação IDENTIFICADA (numa mentoria 1:1 o anônimo é ficção); e UMA VEZ SÓ, sem editar depois. Spec em docs/plano-mentorias-fatia2.md.</t>
        </is>
      </c>
      <c r="D229" s="9" t="inlineStr">
        <is>
          <t>Plataforma</t>
        </is>
      </c>
      <c r="E229" s="9" t="inlineStr">
        <is>
          <t>Concluído</t>
        </is>
      </c>
      <c r="F229" s="9" t="n">
        <v>228</v>
      </c>
      <c r="G229" s="9" t="inlineStr">
        <is>
          <t>Claude</t>
        </is>
      </c>
      <c r="H229" s="9" t="inlineStr">
        <is>
          <t>Matheus, 31/07: detalhamento do menu Mentorias</t>
        </is>
      </c>
      <c r="I229" s="9" t="inlineStr">
        <is>
          <t>Migração puramente aditiva (3 colunas em mentoria_sessoes, tabela mentoria_arquivos, RPC avaliar_sessao_mentoria, bucket 'mentorias' privado nascendo certo — 20 MB, link assinado de 10 min, sem nenhuma policy de SELECT em storage.objects). PROVADO com login real em produção os 8 itens da seção 5 de docs/plano-mentorias-fatia2.md: professor conclui e anexa arquivo; aluno vê o arquivo, baixa, avalia com 4 estrelas e comenta (o teste decisivo); aluno tenta avaliar de novo — negado direto na RPC; aluno tenta avaliar sessão ainda agendada — negado; professor vê nota, comentário e nome do aluno; média no cabeçalho com contagem certa ('4,5 (2 avaliações)'); professor tenta avaliar por fora — negado, isolado numa sessão concluída e não avaliada; link do arquivo expira em 10 min sem login — confirmado pelo token (exp-iat=600) funcionando dentro da janela e recusado depois. O seletor nativo de arquivo não é acessível pelas ferramentas de automação (bloqueio de segurança do navegador); o upload e o registro foram provados chamando o mesmo caminho real (SDK de Storage + tabela mentoria_arquivos) com o token de sessão do professor de teste, incluindo tentativa negada na pasta de outro usuário.</t>
        </is>
      </c>
    </row>
    <row r="230">
      <c r="A230" s="9" t="n">
        <v>229</v>
      </c>
      <c r="B230" s="9" t="inlineStr">
        <is>
          <t>Mentorias Fatia 3: painel do professor</t>
        </is>
      </c>
      <c r="C230" s="9" t="inlineStr">
        <is>
          <t>NPS médio, média de duração dos encontros, quantas faltam agendar, visão geral (todos os alunos) e individual (aluno a aluno, encontro a encontro).</t>
        </is>
      </c>
      <c r="D230" s="9" t="inlineStr">
        <is>
          <t>Plataforma</t>
        </is>
      </c>
      <c r="E230" s="9" t="inlineStr">
        <is>
          <t>Planejado</t>
        </is>
      </c>
      <c r="F230" s="9" t="n">
        <v>229</v>
      </c>
      <c r="G230" s="9" t="inlineStr">
        <is>
          <t>Claude</t>
        </is>
      </c>
      <c r="H230" s="9" t="inlineStr">
        <is>
          <t>Matheus, 31/07: detalhamento do menu Mentorias</t>
        </is>
      </c>
      <c r="I230" s="9" t="inlineStr">
        <is>
          <t>Só faz sentido com sessões reais na base — antes disso qualquer média mente. Depende da Fatia 2 para o NPS.</t>
        </is>
      </c>
    </row>
    <row r="231">
      <c r="A231" s="9" t="n">
        <v>230</v>
      </c>
      <c r="B231" s="9" t="inlineStr">
        <is>
          <t>Mentorias Fatia 4a: link de auto-agendamento (o que faz existir)</t>
        </is>
      </c>
      <c r="C231" s="9" t="inlineStr">
        <is>
          <t>Disponibilidade por dia com faixas, MÚLTIPLOS links (um de 1h, outro de 2h, cada um com regras próprias), página do aluno sem login mas com verificação de e-mail cadastrado, janela de programação, intervalo configurável entre compromissos e teto por dia. Bloqueia pelo que está na plataforma. Spec em docs/plano-mentorias-fatia4.md.</t>
        </is>
      </c>
      <c r="D231" s="9" t="inlineStr">
        <is>
          <t>Plataforma</t>
        </is>
      </c>
      <c r="E231" s="9" t="inlineStr">
        <is>
          <t>Concluído</t>
        </is>
      </c>
      <c r="F231" s="9" t="n">
        <v>230</v>
      </c>
      <c r="G231" s="9" t="inlineStr">
        <is>
          <t>Claude</t>
        </is>
      </c>
      <c r="H231" s="9" t="inlineStr">
        <is>
          <t>Matheus, 31/07: detalhamento do menu Mentorias</t>
        </is>
      </c>
      <c r="I231" s="9" t="inlineStr">
        <is>
          <t>NO AR e provado com login real em produção (matheusguedes@metodointencao.com.br, commit 08cc904). Migração aditiva: mentoria_disponibilidade e mentoria_links novas, mentoria_sessoes ganha origem/link_id/confirmado_em, mais uma trava de corrida no banco (EXCLUDE USING gist) para duas pessoas nunca ocuparem o mesmo horário do mesmo professor ao mesmo tempo. Núcleo (cálculo de horários livres): faixa Segunda 9h-12h + link de 1h com 30 min de intervalo — SEM reserva, oferece 9h/10h/11h; RESERVANDO 9h, o próximo vira exatamente 10h30 (o exemplo da spec, batido). O link de 2h no MESMO dia perde o dia inteiro da lista (nenhum encaixe de 2h sobra) — prova ao mesmo tempo o corte por tamanho e a limpeza entre links. Teto por dia (1) tira o dia da lista quando já bateu. Desativar um link derruba a página (link indisponível) sem apagar a sessão já marcada. TESTE DECISIVO: e-mail não cadastrado é recusado com 'Este e-mail não está cadastrado. Fale com quem te enviou este link.' — sem mensagem genérica. E-mail cadastrado mostra o nome da pessoa, agenda, e a sessão aparece na hora no pacote dela (contagem 'a agendar' desce sozinha), na agenda/painel do professor (com notificação) e no painel do aluno (calendário e lista 'Marcadas'). Tudo repetido em produção com o mesmo e-mail de teste, dados apagados ao final (pessoa, pacote, sessões, os 2 links e a faixa de disponibilidade de teste). RESSALVA: um evento de teste chegou a ser criado na agenda real do Google do Matheus (Mentoria · Aluno Teste Agendamento, 10/08 10:30) — o app não expõe hoje um botão de cancelar sessão que também apague do Google, então esse evento específico precisa ser apagado à mão por ele no Google Calendar (achado registrado para uma futura demanda). FORA DESTA FATIA, de propósito: bloqueio pela agenda pessoal do Google e cancelar/remarcar pelo aluno (4b, depende do Matheus reconectar o Google); foto, local/videoconferência, formulário personalizável e lembretes (4c).</t>
        </is>
      </c>
    </row>
    <row r="232">
      <c r="A232" s="9" t="n">
        <v>231</v>
      </c>
      <c r="B232" s="9" t="inlineStr">
        <is>
          <t>Classroom: aluno avalia a aula com estrelas depois que ela termina</t>
        </is>
      </c>
      <c r="C232" s="9" t="inlineStr">
        <is>
          <t>Passado o horário de fim da aula (termina_em, que já existe), quem teve presença marcada pode dar 1 a 5 estrelas e escrever um comentário. Mesmas regras da avaliação de mentoria: identificada, comentário opcional, uma vez só garantido no banco. Diferença importante: a aula é 1 para muitos, então precisa de tabela própria com um registro por pessoa por aula — não dá para pendurar colunas na aula como foi feito em mentoria_sessoes. Média sempre com a contagem ao lado. Presença por QR e presença marcada à mão valem igual.</t>
        </is>
      </c>
      <c r="D232" s="9" t="inlineStr">
        <is>
          <t>Classroom</t>
        </is>
      </c>
      <c r="E232" s="9" t="inlineStr">
        <is>
          <t>Planejado</t>
        </is>
      </c>
      <c r="F232" s="9" t="n">
        <v>231</v>
      </c>
      <c r="G232" s="9" t="inlineStr">
        <is>
          <t>Claude</t>
        </is>
      </c>
      <c r="H232" s="9" t="inlineStr">
        <is>
          <t>Matheus, 31/07: detalhamento do menu Mentorias</t>
        </is>
      </c>
      <c r="I232" s="9" t="inlineStr">
        <is>
          <t>Reaproveita a avaliação da Fatia 2. termina_em já existe em treinamento_aulas e o vínculo de presença em treinamento_presencas. Decisões confirmadas com o Matheus em 05/08.</t>
        </is>
      </c>
    </row>
    <row r="233">
      <c r="A233" s="9" t="n">
        <v>232</v>
      </c>
      <c r="B233" s="9" t="inlineStr">
        <is>
          <t>Quatro telas mostram lista vazia em vez de avisar que falta permissão</t>
        </is>
      </c>
      <c r="C233" s="9" t="inlineStr">
        <is>
          <t>Equipe, comunidade, ranking do grupo e quem-acessa não checam o erro de permissão negada: quando o servidor barra, a tela mostra lista vazia como se não houvesse nada. Quem não tem acesso pensa que o conteúdo não existe, e quem deveria ter acesso acha que perdeu o dado. Mesmo bug já corrigido em mentorias-page.tsx.</t>
        </is>
      </c>
      <c r="D233" s="9" t="inlineStr">
        <is>
          <t>Plataforma</t>
        </is>
      </c>
      <c r="E233" s="9" t="inlineStr">
        <is>
          <t>Concluído</t>
        </is>
      </c>
      <c r="F233" s="9" t="n">
        <v>232</v>
      </c>
      <c r="G233" s="9" t="inlineStr">
        <is>
          <t>Claude</t>
        </is>
      </c>
      <c r="H233" s="9" t="inlineStr">
        <is>
          <t>Claude Code, 01/08, achado ao fechar o menu Mentorias</t>
        </is>
      </c>
      <c r="I233" s="9" t="inlineStr">
        <is>
          <t>Feito e provado em produção 01/08. Achado no caminho: o conserto já tinha sido feito e testado numa sessão anterior (comunidade, ranking do grupo e a metade Grupos de quem-acessa), mas ficou preso num branch que nunca foi mesclado — nunca chegou a publicar. Reaplicado via cherry-pick (commit f99ffb2), typecheck+build OK, reprovado com login real: colaborador de teste sem a permissão grupos via /comunidades, /grupos/:id (ranking) e o diálogo Nova trilha (quem-acessa) — as três mostram "Você não tem acesso a esta área." em vez de lista vazia. Restaurada a permissão depois, tela volta ao normal. Equipe (team-page.tsx) foi reconferido do zero e CONFIRMADO que não tem esse bug: listTeamMembers depende só da RLS do banco, não existe erro de permissão pra essa tela capturar — por isso não faz parte do conserto.
RECONFERIDO em 03/08, a pedido do Matheus ('confira se ainda existe'): nenhum dos 3 arquivos (_app.comunidades.tsx, _app.grupos.$id.tsx, quem-acessa.tsx) foi tocado por nenhum commit desde f99ffb2 — lido o código atual dos três e confirmado que o tratamento de erro (error/isError exibindo a mensagem do servidor em vez de lista vazia) continua exatamente como descrito acima. Nenhuma mudança feita — não havia o que corrigir.</t>
        </is>
      </c>
    </row>
    <row r="234">
      <c r="A234" s="9" t="n">
        <v>233</v>
      </c>
      <c r="B234" s="9" t="inlineStr">
        <is>
          <t>Varredura completa: o kanban mente sobre o que já está pronto</t>
        </is>
      </c>
      <c r="C234" s="9" t="inlineStr">
        <is>
          <t>Duas provas em 01/08 de que o quadro não é confiável. PRIMEIRA: trabalho pronto preso em branch que nunca chegou à main (claude/lucid-burnell tinha a correção da #232 feita e testada; claude/keen-chebyshev tinha um conserto de escala linear nunca commitado, que virou a #234). SEGUNDA, e pior: SEIS demandas de Agenda marcadas como pendentes já estavam prontas — a conexão com o Google funciona e sincronizou evento hoje, a renovação de token existe, o fim do evento é enviado. Varrer TODAS as áreas, não só permissão/buckets/mentorias.</t>
        </is>
      </c>
      <c r="D234" s="9" t="inlineStr">
        <is>
          <t>Gestão do projeto</t>
        </is>
      </c>
      <c r="E234" s="9" t="inlineStr">
        <is>
          <t>Concluído</t>
        </is>
      </c>
      <c r="F234" s="9" t="n">
        <v>233</v>
      </c>
      <c r="G234" s="9" t="inlineStr">
        <is>
          <t>Claude</t>
        </is>
      </c>
      <c r="H234" s="9" t="inlineStr">
        <is>
          <t>Claude Code, 01/08, ao corrigir a #232 — achou o próprio conserto preso num branch</t>
        </is>
      </c>
      <c r="I234" s="9" t="inlineStr">
        <is>
          <t>Fechado em 03/08. A varredura completa das 11 áreas foi feita e entregue: 237 demandas conferidas, 36 registros errados achados (17 já feitas sem registro, ~19 dadas como feitas sem estar no ar, 6 genuinamente quebradas) — o Matheus conferiu os 3 mais graves por fora e todos procederam. Restava só decidir o branch órfão claude/ecstatic-bun-50995d (capa da trilha com upload e recorte, achado ao lado da #234/#232). Revisado hoje: fazia sentido — mesmo padrão já usado em material/pasta/banner (#23), nada mudou nesses arquivos desde então (git log confirma zero commits em track-view.tsx/learning.functions.ts no meio termo), cherry-pick limpo, sem conflito. Testado de verdade (não só confiado na prova antiga): subi uma imagem sintética, recortei, salvei, conferi o card na prateleira mostrando a capa e o banco guardando um identificador do bucket, não o link assinado que expira. Dado de teste revertido e arquivo apagado do bucket ao final. Commit e100ccc; branch e worktree apagados.</t>
        </is>
      </c>
    </row>
    <row r="235">
      <c r="A235" s="9" t="n">
        <v>234</v>
      </c>
      <c r="B235" s="9" t="inlineStr">
        <is>
          <t>Editar pergunta de escala linear apaga 'reverse' e 'check_group'</t>
        </is>
      </c>
      <c r="C235" s="9" t="inlineStr">
        <is>
          <t>O editor salva o config com cinco campos fixos — onUpdate({min,max,minLabel,maxLabel,dimension_id}) — sobrescrevendo o config inteiro. Toda edição de uma pergunta de escala linear APAGA as outras chaves: 'reverse' (a inversão de metade dos itens do Big Five) e 'check_group' (o par de checagem que alimenta o selo de confiabilidade). O resultado do teste continua saindo, errado, com cara de certo. O conserto são 3 linhas: espalhar o config existente antes de sobrescrever.</t>
        </is>
      </c>
      <c r="D235" s="9" t="inlineStr">
        <is>
          <t>Testes</t>
        </is>
      </c>
      <c r="E235" s="9" t="inlineStr">
        <is>
          <t>Concluído</t>
        </is>
      </c>
      <c r="F235" s="9" t="n">
        <v>234</v>
      </c>
      <c r="G235" s="9" t="inlineStr">
        <is>
          <t>Claude</t>
        </is>
      </c>
      <c r="H235" s="9" t="inlineStr">
        <is>
          <t>Chat, 01/08, ao avaliar o branch keen-chebyshev — o Code apontou o sintoma, o chat achou que a causa era outra</t>
        </is>
      </c>
      <c r="I235" s="9" t="inlineStr">
        <is>
          <t>FEITO E EM PRODUÇÃO. LinearScaleEditor (_app.testes.$versionId.editar.tsx) agora espalha o config existente antes de sobrescrever — onUpdate({...cfg, min, max, minLabel, maxLabel, ...(dimId ? {dimension_id: dimId} : {})}) — em vez de trocar o config inteiro por 5 campos fixos. E quando o dimension_id salvo não bate com nenhuma dimensão atual (órfão), não chuta mais a primeira da lista: fica em aberto até o mentor escolher de verdade, sem sobrescrever o que já estava gravado. PROVA (pergunta 26f5148e-9185-4888-8a2f-3d7b464f433e, Big Five, versão 7c6d0667): ANTES do conserto, editar e salvar apagou reverse e check_group do banco (confirmado por REST, e dado restaurado na hora). DEPOIS do conserto, o mesmo teste — local e depois em produção, com login real do colaborador — manteve as duas chaves intactas, junto com dimension_id e os rótulos. Extraído do worktree claude/keen-chebyshev-176740 (branch e worktree apagados): só o conserto do editor veio; o remapeamento de dimensão ao duplicar já estava em produção via remapQuestionConfig (815a3b3), e a migração SQL do branch não achou nenhuma das 50 perguntas de escala linear com referência quebrada — nada para reparar. Commit 490dfe4 (01/08), publicado e conferido no ar.</t>
        </is>
      </c>
    </row>
    <row r="236">
      <c r="A236" s="9" t="n">
        <v>235</v>
      </c>
      <c r="B236" s="9" t="inlineStr">
        <is>
          <t>Ícone da conta e app instalável no celular (manifest)</t>
        </is>
      </c>
      <c r="C236" s="9" t="inlineStr">
        <is>
          <t>Quando o dono sobe um ícone, ele deve ser a imagem que aparece na tela do celular de quem instalar a plataforma como aplicativo — dele e do aluno. HOJE NADA DISSO EXISTE: não há campo de ícone nas Configurações (o profile só tem logo_url), não há manifest, e a plataforma NÃO é instalável. Só existe um favicon.ico fixo da plataforma. Precisa de: campo de ícone, manifest gerado por conta (nome + ícone + cor da marca) e as meta tags de app.</t>
        </is>
      </c>
      <c r="D236" s="9" t="inlineStr">
        <is>
          <t>Plataforma</t>
        </is>
      </c>
      <c r="E236" s="9" t="inlineStr">
        <is>
          <t>Em andamento</t>
        </is>
      </c>
      <c r="F236" s="9" t="n">
        <v>235</v>
      </c>
      <c r="G236" s="9" t="inlineStr">
        <is>
          <t>Claude</t>
        </is>
      </c>
      <c r="H236" s="9" t="inlineStr">
        <is>
          <t>Matheus, 01/08: 'o ícone deve ser a imagem na tela do celular em modo aplicativo'</t>
        </is>
      </c>
      <c r="I236" s="9" t="inlineStr">
        <is>
          <t>CÓDIGO PRONTO, publicado e parcialmente provado — falta só o upload de verdade, travado por um bug de infraestrutura sem relação com esta demanda (ver #245). Campo de ícone em Configurações (separado da logo, recorte quadrado, bucket 'marca'); rota /api/icone/$tamanho que assina por dentro a cada pedido (nunca expira, ao contrário de uma URL assinada de validade longa — decisão escrita no código); /api/manifest por conta; ressalva de multiconta escrita em resolveContaUnica(). Provado em produção: manifest reflete nome/cor reais da conta; ícone cai no favicon padrão quando não configurado (302); bundle confirmado no ar. Bloqueado: subir um ícone de teste falha com RLS negada no Storage — mesmo bug do #245, testado também no logo e no avatar (sem mexer em nenhum dos dois) e falha igual — não é bug desta demanda.</t>
        </is>
      </c>
    </row>
    <row r="237">
      <c r="A237" s="9" t="n">
        <v>236</v>
      </c>
      <c r="B237" s="9" t="inlineStr">
        <is>
          <t>Tirar 'Novo Envio' da barra superior — vai para dentro de Testes</t>
        </is>
      </c>
      <c r="C237" s="9" t="inlineStr">
        <is>
          <t>O botão 'Novo Envio' ocupa lugar de destaque na barra superior de TODA tela (app-header.tsx:43), como se disparar teste fosse a ação principal da plataforma. Não é mais: virou uma ação entre várias. Sai da barra e passa a existir só dentro do menu Testes, onde faz sentido.</t>
        </is>
      </c>
      <c r="D237" s="9" t="inlineStr">
        <is>
          <t>Plataforma</t>
        </is>
      </c>
      <c r="E237" s="9" t="inlineStr">
        <is>
          <t>Concluído</t>
        </is>
      </c>
      <c r="F237" s="9" t="n">
        <v>236</v>
      </c>
      <c r="G237" s="9" t="inlineStr">
        <is>
          <t>Claude</t>
        </is>
      </c>
      <c r="H237" s="9" t="inlineStr">
        <is>
          <t>Matheus, 01/08: a interface ainda é de plataforma de testes, o produto virou hub</t>
        </is>
      </c>
      <c r="I237" s="9" t="inlineStr">
        <is>
          <t>Feito e testado local 03/08 (commit 06ef6d3). Removido o botão 'Novo Envio' de app-header.tsx (aparecia em toda tela da plataforma). O atalho não se perde: Testes → aba Envios já tem seu próprio botão 'Novo envio' (_app.envios.index.tsx), e Pessoas/Grupos continuam linkando direto com personId/groupId pré-preenchidos — nenhum fluxo dependia do atalho do header. 'Ver como aluno' e o sino, no mesmo header, não foram tocados. Testado local: header sem o botão; Testes → Envios abre o formulário normalmente.</t>
        </is>
      </c>
    </row>
    <row r="238">
      <c r="A238" s="9" t="n">
        <v>237</v>
      </c>
      <c r="B238" s="9" t="inlineStr">
        <is>
          <t>Dashboard vira resumo de toda a plataforma, não só dos testes</t>
        </is>
      </c>
      <c r="C238" s="9" t="inlineStr">
        <is>
          <t>O Dashboard responde hoje só sobre testes. Virou hub e a primeira tela não sabe. Passa a mostrar Mentorias, Classroom, Academy, Testes, Comunidade e o bloco de engajamento. Spec em docs/plano-dashboard.md.</t>
        </is>
      </c>
      <c r="D238" s="9" t="inlineStr">
        <is>
          <t>Plataforma</t>
        </is>
      </c>
      <c r="E238" s="9" t="inlineStr">
        <is>
          <t>Planejado</t>
        </is>
      </c>
      <c r="F238" s="9" t="n">
        <v>237</v>
      </c>
      <c r="G238" s="9" t="inlineStr">
        <is>
          <t>Claude</t>
        </is>
      </c>
      <c r="H238" s="9" t="inlineStr">
        <is>
          <t>Matheus, 01/08: a interface ainda é de plataforma de testes, o produto virou hub</t>
        </is>
      </c>
      <c r="I238" s="9" t="inlineStr">
        <is>
          <t>DECISÕES do Matheus em 01/08: o engajamento (#220) mora DENTRO do menu Dashboard, não é tela separada; recalcula toda vez que abre, sem cache; e cada papel vê só o que pode abrir — colaborador sem 'mentorias' não vê NENHUM número de mentoria. Este último não é estética: sem o recorte, o Dashboard vira a porta dos fundos que mostra em número o que as outras telas aprenderam a esconder. ORDEM: depois da Fatia 3 do Mentorias (#229), que constrói as contas que o Dashboard consome.</t>
        </is>
      </c>
    </row>
    <row r="239">
      <c r="A239" s="9" t="n">
        <v>238</v>
      </c>
      <c r="B239" s="9" t="inlineStr">
        <is>
          <t>Cancelar sessão de mentoria não avisa o Google — compromissos fantasma</t>
        </is>
      </c>
      <c r="C239" s="9" t="inlineStr">
        <is>
          <t>Não existe função para cancelar uma sessão de mentoria e refletir no Google Calendar. Quem apaga a sessão no banco deixa o compromisso lá para sempre. AGORA MESMO há 3 registros em google_eventos e só 1 sessão viva: dois compromissos fantasma na agenda do Matheus, sobras da limpeza de dados de teste.</t>
        </is>
      </c>
      <c r="D239" s="9" t="inlineStr">
        <is>
          <t>Agenda</t>
        </is>
      </c>
      <c r="E239" s="9" t="inlineStr">
        <is>
          <t>Concluído</t>
        </is>
      </c>
      <c r="F239" s="9" t="n">
        <v>238</v>
      </c>
      <c r="G239" s="9" t="inlineStr">
        <is>
          <t>Claude</t>
        </is>
      </c>
      <c r="H239" s="9" t="inlineStr">
        <is>
          <t>Varredura completa do Claude Code, 03/08 — confirmado por fora pelo chat</t>
        </is>
      </c>
      <c r="I239" s="9" t="inlineStr">
        <is>
          <t>FEITO E EM PRODUÇÃO. (a) Os 2 fantasmas (origem_id 5b354263 e 21cf3820) foram apagados dos dois lados: evento excluído no Google Calendar (isolei a agenda "Métrica Humana" no calendário do Matheus, achei os dois pelo processo de eliminação contra a única sessão real, apaguei um a um) e as 2 linhas de google_eventos apagadas via REST. (b) Construída cancelarSessaoMentoria (mentorias.functions.ts): marca a sessão "cancelada" (só cabe numa ainda "agendada") e chama sincronizar(..., null), que apaga o evento do Google e a linha de controle. PROVADO o ciclo completo: local (status muda, guarda contra cancelar 2x, não quebra sem credencial do Google) e em produção — criei um pacote+sessão de teste de verdade pelo próprio app, confirmei que um evento real foi criado no Google Calendar, chamei a função (só existe no servidor ainda, sem botão na tela) e confirmei que o evento sumiu do Google E da tabela, sem erro de sincronização. (c) Investigado: hoje NÃO existe botão de cancelar sessão em nenhum papel — o professor só tem "Marcar como concluída" para uma sessão agendada. Fica para o Matheus decidir se vale construir esse botão numa próxima entrega; não construí a tela agora, só a função, como pedido. Dados de teste apagados e sessão do colaborador de teste derrubada duas vezes (local e produção). Commit 8f215e9 (03/08), publicado e conferido no ar.</t>
        </is>
      </c>
    </row>
    <row r="240">
      <c r="A240" s="9" t="n">
        <v>239</v>
      </c>
      <c r="B240" s="9" t="inlineStr">
        <is>
          <t>Brecha de permissão no Classroom ficou fora da varredura do #226</t>
        </is>
      </c>
      <c r="C240" s="9" t="inlineStr">
        <is>
          <t>O mesmo buraco que o #226 fechou em quatro áreas — a leitura não checar permissão — continua no Classroom. Não é explorável pela tela hoje, mas nada no banco impede por outro caminho.</t>
        </is>
      </c>
      <c r="D240" s="9" t="inlineStr">
        <is>
          <t>Classroom</t>
        </is>
      </c>
      <c r="E240" s="9" t="inlineStr">
        <is>
          <t>Concluído</t>
        </is>
      </c>
      <c r="F240" s="9" t="n">
        <v>239</v>
      </c>
      <c r="G240" s="9" t="inlineStr">
        <is>
          <t>Claude</t>
        </is>
      </c>
      <c r="H240" s="9" t="inlineStr">
        <is>
          <t>Varredura completa do Claude Code, 03/08</t>
        </is>
      </c>
      <c r="I240" s="9" t="inlineStr">
        <is>
          <t>Feito e testado local 03/08 (commit 8a51147, ponto de retorno em 1b8dee1). listTreinamentos/getTreinamento não checavam nada além da RLS. Diferente de Academy/Comunidade/Ranking — onde um colaborador PODE ganhar a permissão —, o menu do Classroom sempre foi soDono (app-sidebar.tsx): não existe tecla de funcionalidade 'classroom' para dar a um colaborador. Por isso não reusei exigirPermissaoOuVisitante (qualquer permissão existente viraria bypass indevido) — criei exigirVisitante (permissao.server.ts): owner/mentor/aluno passam, colaborador nunca passa, com ou sem qualquer permissão marcada. TESTADO com 4 sessões reais geradas via admin (colaborador sem permissão nenhuma, colaborador com as 7 permissões, dono, aluno real): só os dois colaboradores foram barrados com 'Você não tem acesso a esta área.'; dono viu os 2 treinamentos normalmente, aluno (Gabriela) seguiu vendo o dela (0, sem erro). Dados de teste (colaborador e usuário criados só para o teste) apagados ao final.</t>
        </is>
      </c>
    </row>
    <row r="241">
      <c r="A241" s="9" t="n">
        <v>240</v>
      </c>
      <c r="B241" s="9" t="inlineStr">
        <is>
          <t>As 20 perguntas do QI existem só no banco, sem migração nem script</t>
        </is>
      </c>
      <c r="C241" s="9" t="inlineStr">
        <is>
          <t>O conteúdo do teste de QI — 20 questões com gabarito e as faixas de resultado — foi inserido direto no banco e nunca virou migração nem script em scripts/conteudo_*.py, como os outros seis instrumentos. Se o banco precisar ser reconstruído, o QI volta com 1 pergunta e 3 faixas, sem aviso nenhum.</t>
        </is>
      </c>
      <c r="D241" s="9" t="inlineStr">
        <is>
          <t>Conteúdo</t>
        </is>
      </c>
      <c r="E241" s="9" t="inlineStr">
        <is>
          <t>Planejado</t>
        </is>
      </c>
      <c r="F241" s="9" t="n">
        <v>240</v>
      </c>
      <c r="G241" s="9" t="inlineStr">
        <is>
          <t>Claude</t>
        </is>
      </c>
      <c r="H241" s="9" t="inlineStr">
        <is>
          <t>Varredura completa do Claude Code, 03/08</t>
        </is>
      </c>
      <c r="I241" s="9" t="inlineStr">
        <is>
          <t>É a mesma classe da demanda #2 ('as migrações não reconstroem o banco'), que foi fechada — mas o QI escapou. Deve ser resolvido ANTES da revisão do QI (#8): não faz sentido revisar conteúdo que não está versionado.
[CONGELADA em 03/08 por decisão do Matheus: melhorias e conferência de testes só entram quando ele disser que quer mexer nos testes. Não propor, não incluir em leva, não sugerir como próxima — até ele abrir a fase.]</t>
        </is>
      </c>
    </row>
    <row r="242">
      <c r="A242" s="9" t="n">
        <v>241</v>
      </c>
      <c r="B242" s="9" t="inlineStr">
        <is>
          <t>A receita de conserto do #114 reabre 3 funções fechadas por segurança</t>
        </is>
      </c>
      <c r="C242" s="9" t="inlineStr">
        <is>
          <t>A prova do #114 recomenda rodar reconceder_grants() para reparar permissões. Quem seguir isso hoje REABRE três funções que foram fechadas de propósito depois, no trabalho de segurança de 30/07.</t>
        </is>
      </c>
      <c r="D242" s="9" t="inlineStr">
        <is>
          <t>Segurança / RLS</t>
        </is>
      </c>
      <c r="E242" s="9" t="inlineStr">
        <is>
          <t>Concluído</t>
        </is>
      </c>
      <c r="F242" s="9" t="n">
        <v>241</v>
      </c>
      <c r="G242" s="9" t="inlineStr">
        <is>
          <t>Claude</t>
        </is>
      </c>
      <c r="H242" s="9" t="inlineStr">
        <is>
          <t>Varredura completa do Claude Code, 03/08</t>
        </is>
      </c>
      <c r="I242" s="9" t="inlineStr">
        <is>
          <t>Fechado em 311c894, migration 20260803010000_grants_excecoes_completa.sql. CONFERIDO POR FORA pelo chat: grants_excecoes() agora devolve as SEIS funções que devem ficar sem GRANT — track_liberada_para, bib_pasta_liberada_para, bib_material_liberado_para (as antigas) mais grants_faltando, reconceder_grants e retrato_do_schema (as três fechadas no trabalho de segurança de 30/07). Aplicada no banco, não só no arquivo. Agora quem seguir a receita do #114 não reabre nada. RESSALVA DE PROCESSO: o Code consertou e esqueceu de mover no kanban — o commit 9c931ff menciona #239, #236 e #232, mas não esta. Foi o chat que pegou na conferência.</t>
        </is>
      </c>
    </row>
    <row r="243">
      <c r="A243" s="9" t="n">
        <v>242</v>
      </c>
      <c r="B243" s="9" t="inlineStr">
        <is>
          <t>export_logs está vazia apesar da prova do #21 dizer o contrário</t>
        </is>
      </c>
      <c r="C243" s="9" t="inlineStr">
        <is>
          <t>A prova do #21 (rastro da exportação) afirma que o registro foi testado. A tabela export_logs tem ZERO linhas. Ou a limpeza de dados de teste levou junto, ou a gravação falha em silêncio.</t>
        </is>
      </c>
      <c r="D243" s="9" t="inlineStr">
        <is>
          <t>Pessoas / Exportação</t>
        </is>
      </c>
      <c r="E243" s="9" t="inlineStr">
        <is>
          <t>Concluído</t>
        </is>
      </c>
      <c r="F243" s="9" t="n">
        <v>242</v>
      </c>
      <c r="G243" s="9" t="inlineStr">
        <is>
          <t>Claude</t>
        </is>
      </c>
      <c r="H243" s="9" t="inlineStr">
        <is>
          <t>Varredura completa do Claude Code, 03/08 — confirmado por fora pelo chat</t>
        </is>
      </c>
      <c r="I243" s="9" t="inlineStr">
        <is>
          <t>Confirmado por teste real, não só por leitura de código: cliquei 'Exportar dados' de verdade (produção, sessão real do dono, Excel, 'Todas — 7 pessoas') e conferi export_logs no mesmo instante — gravou uma linha certa (owner_id e exported_by do dono, kind=pessoas, formato=xlsx, row_count=7). O CÓDIGO NUNCA TEVE BUG: dadosParaExportar grava a linha corretamente. A tabela estava vazia porque a limpeza de dados de teste do #21 original apagou o rastro do teste JUNTO com o resto — tratou uma linha real (prova de que funcionava) como lixo de teste. Corrigido: a prova do #21 abaixo ganhou esta reconfirmação; a linha de teste desta verificação também foi apagada ao final, para não inflar o histórico real do Matheus com uma exportação que ele não pediu.</t>
        </is>
      </c>
    </row>
    <row r="244">
      <c r="A244" s="9" t="n">
        <v>243</v>
      </c>
      <c r="B244" s="9" t="inlineStr">
        <is>
          <t>A prévia 'Ver como aluno' mostra a agenda do DONO, não a do aluno</t>
        </is>
      </c>
      <c r="C244" s="9" t="inlineStr">
        <is>
          <t>Na prévia de um aluno, a agenda mostra as mentorias de quem está LOGADO (o dono), não as da pessoa previsualizada. agendaDoMes filtra por people.user_id = usuário atual; na prévia isso resolve para o dono. Outras partes da prévia já recebem preview_person_id (aluno.tsx:86 passa para areasFn) — a agenda não recebe.</t>
        </is>
      </c>
      <c r="D244" s="9" t="inlineStr">
        <is>
          <t>Agenda</t>
        </is>
      </c>
      <c r="E244" s="9" t="inlineStr">
        <is>
          <t>Concluído</t>
        </is>
      </c>
      <c r="F244" s="9" t="n">
        <v>243</v>
      </c>
      <c r="G244" s="9" t="inlineStr">
        <is>
          <t>Claude</t>
        </is>
      </c>
      <c r="H244" s="9" t="inlineStr">
        <is>
          <t>Matheus, 03/08: viu a mentoria do 'Fulado de Tal' na prévia da Laila</t>
        </is>
      </c>
      <c r="I244" s="9" t="inlineStr">
        <is>
          <t>Fechado em 5bdd17b (ponto de retorno em 1c0ec23). Confirmado: agendaDoMes tinha DUAS falhas (mentorias E eventos, este segundo porque posso_ver_evento também libera o dono para a conta inteira). Varredura achou o MESMO esquecimento em mais 5 funções: getMinhasMentorias (sem filtro nenhum na prévia — mostrava a conta inteira), listTreinamentos (mostrava treinamento de grupo que a pessoa nem está — confirmado lendo posso_ver_treinamento), getTreinamento (anotações do professor e presença 'estive' vinham do dono, não da pessoa pré-visualizada), rankingDoGrupo (destacava a linha errada como 'você'). Todas corrigidas com o mesmo padrão preview_person_id. Achado à parte (não corrigido aqui, fora do escopo desta demanda): getMyMembership não sabe prever papel de um MENTOR promovido, então a prévia de um mentor aparece sempre como aluno comum. PROVADO com login real em produção: prévia da Laila Ferreira NÃO mostra a mentoria de 'Fulado de Tal' (agenda e mentorias, ambas vazias); prévia de 'Fulado de Tal' mostra a própria mentoria (02/08 18:12, resumo e avaliação corretos); dono em /agenda continua vendo tudo, inclusive a de Fulado de Tal. Não provado ao vivo: aluno real logado (Gabriela) vendo só o dele — o classificador de segurança bloqueou o login automatizado por magic link. Confiança por revisão de código: o caminho do aluno real é EXATAMENTE o mesmo código de antes (só ganhou um novo `if` que só ativa com preview_person_id).</t>
        </is>
      </c>
    </row>
    <row r="245">
      <c r="A245" s="9" t="n">
        <v>244</v>
      </c>
      <c r="B245" s="9" t="inlineStr">
        <is>
          <t>Classroom do dono mente sobre falta de acesso, igual ao #232</t>
        </is>
      </c>
      <c r="C245" s="9" t="inlineStr">
        <is>
          <t>_app.classroom.index.tsx usa `const { data: treinamentos = [] } = useQuery(...)` sem checar isError — um colaborador barrado por exigirVisitante (#239) vê 'Nenhum treinamento ainda, crie o primeiro' em vez de 'Você não tem acesso a esta área.'. Mesma classe do #232, mas essa tela específica nunca entrou naquela varredura.</t>
        </is>
      </c>
      <c r="D245" s="9" t="inlineStr">
        <is>
          <t>Classroom</t>
        </is>
      </c>
      <c r="E245" s="9" t="inlineStr">
        <is>
          <t>Concluído</t>
        </is>
      </c>
      <c r="F245" s="9" t="n">
        <v>244</v>
      </c>
      <c r="G245" s="9" t="inlineStr">
        <is>
          <t>Claude</t>
        </is>
      </c>
      <c r="H245" s="9" t="inlineStr">
        <is>
          <t>Claude Code, 03/08, achado ao provar #239 em produção com login real de colaborador</t>
        </is>
      </c>
      <c r="I245" s="9" t="inlineStr">
        <is>
          <t>Fechado em 89f8d0c. _app.classroom.index.tsx e classroom-view.tsx (a tela de UM treinamento — achada no caminho, mesma classe) passam a checar isError e mostrar a mensagem do servidor, mesmo padrão do #232. Testado local com colaborador de teste sem permissão: as duas telas mostram 'Você não tem acesso a esta área.' em vez do estado vazio comum. Dono continua vendo tudo normal (lista e o treinamento aberto, com edição) — sem regressão. Dados de teste apagados ao final.</t>
        </is>
      </c>
    </row>
    <row r="246">
      <c r="A246" s="9" t="n">
        <v>245</v>
      </c>
      <c r="B246" s="9" t="inlineStr">
        <is>
          <t>TODO upload de arquivo está quebrado em produção (RLS rejeita o storage)</t>
        </is>
      </c>
      <c r="C246" s="9" t="inlineStr">
        <is>
          <t>Qualquer envio de arquivo pelo navegador — logo, ícone, foto de perfil, e provavelmente capa de material da Biblioteca, banner de evento, post de comunidade e anexo de mentoria (mesma policy) — falha com '403: new row violates row-level security policy'. Achado tentando testar o upload do ícone novo (#235), NÃO é bug dessa demanda: confirmei testando logo e avatar (sem mexer em nenhum dos dois) e os dois falham exatamente igual.</t>
        </is>
      </c>
      <c r="D246" s="9" t="inlineStr">
        <is>
          <t>Segurança / RLS</t>
        </is>
      </c>
      <c r="E246" s="9" t="inlineStr">
        <is>
          <t>Concluído</t>
        </is>
      </c>
      <c r="F246" s="9" t="n">
        <v>245</v>
      </c>
      <c r="G246" s="9" t="inlineStr">
        <is>
          <t>Matheus</t>
        </is>
      </c>
      <c r="H246" s="9" t="inlineStr">
        <is>
          <t>Claude Code, 03/08 — achado ao testar o upload da #235 com login real em produção</t>
        </is>
      </c>
      <c r="I246" s="9" t="inlineStr">
        <is>
          <t>FECHADO 03/08. Causa confirmada e corrigida: faltava policy de SELECT em storage.objects nos 6 buckets (marca, avatares, biblioteca, eventos, comunidade, mentorias) — o Storage confirma um envio com INSERT...RETURNING, e sem SELECT o RETURNING falha com a mesma mensagem de RLS do INSERT. As duas migrações que fecharam os buckets públicos (31/07 e 01/08) derrubaram a leitura antiga (a brecha real) e não recolocaram nada no lugar. NÃO era a chave JWT nova — hipótese descartada com a documentação oficial do Supabase antes de mexer em qualquer coisa. Migração aditiva (20260803030000): recria SELECT em cada bucket, escopado ao dono da pasta (mesmo padrão do INSERT) — conferidos os 10 pontos de upload do app antes: todo mundo, em todo bucket, sobe para a própria pasta, sem exceção (inclusive aluno, via avatar e comunidade). Não reabre a brecha original. PROVADO com login real (sessão do Matheus, produção) nos 6 caminhos: trocar logo (200), trocar ícone (200 — o mesmo fluxo que travava o #235 inteiro), trocar foto de perfil (200), subir material na biblioteca (200), banner de evento (200), anexo de post de comunidade (200, testado direto pela chamada de storage já que a conta não tinha grupo para postar pela tela). Arquivos antigos continuam carregando — a leitura por link assinado do servidor não mudou. Bônus: /api/icone/192 do #235 já reflete o ícone real assim que sobe, confirmando a arquitetura inteira daquela demanda. Dados de teste (3 campos de perfil + 6 arquivos) revertidos/apagados ao final. Sem publicação necessária: o código do app já estava certo, o bug inteiro era só no banco.</t>
        </is>
      </c>
    </row>
    <row r="247">
      <c r="A247" s="9" t="n">
        <v>246</v>
      </c>
      <c r="B247" s="9" t="inlineStr">
        <is>
          <t>Desconectar Google Calendar mostrava sucesso mas nunca apagava a conexão</t>
        </is>
      </c>
      <c r="C247" s="9" t="inlineStr">
        <is>
          <t>Achado testando #64 (não relacionado a ele): clicar em 'Desconectar' em Configurações &gt; Agenda sempre mostrava o toast de sucesso, mas a conexão nunca era removida de verdade -- confirmado replicando a mesma chamada REST que o app usa (DELETE volta 204, mas Content-Range: */0, zero linhas afetadas) e com EXPLAIN (ANALYZE), que mostra 'One-Time Filter: false': o Postgres decide em tempo de planejamento que a policy de RLS nunca pode ser verdadeira, e descarta a linha sem nunca reavaliar por linha.</t>
        </is>
      </c>
      <c r="D247" s="9" t="inlineStr">
        <is>
          <t>Integrações</t>
        </is>
      </c>
      <c r="E247" s="9" t="inlineStr">
        <is>
          <t>Concluído</t>
        </is>
      </c>
      <c r="F247" s="9" t="n">
        <v>246</v>
      </c>
      <c r="G247" s="9" t="n"/>
      <c r="H247" s="9" t="inlineStr">
        <is>
          <t>Claude Code, 04/08 -- achado ao testar o login do Google pelo domínio novo (#64)</t>
        </is>
      </c>
      <c r="I247" s="9" t="inlineStr">
        <is>
          <t>FECHADO 04/08. Isolei a causa recriando o mesmo desenho em tabelas de teste descartáveis: o gatilho é ter, ao mesmo tempo, RLS com policy de DELETE dependente de auth.uid() e FOREIGN KEY na coluna filtrada -- as duas sozinhas não reproduzem. auth.uid() puro, (select auth.uid()) (a correção de performance que a própria documentação do Supabase recomenda) e uma função SECURITY DEFINER falham igual quando a coluna tem FK. google_conexoes.user_id tem FK para auth.users(id) on delete cascade -- e é essa combinação que aciona o bug. Não achei outro lugar do schema no mesmo risco: das 58 policies de DELETE/UPDATE, google_conexoes é a única sem uma policy de SELECT companheira na mesma tabela (de propósito -- o refresh_token não pode virar legível pelo cliente); testei diretamente academy_banners (desenho comum do resto do banco, policy FOR ALL + SELECT separada) e lá o Postgres monta plano normal, sem 'One-Time Filter'. Correção: tirar o DELETE de dentro de uma policy de RLS -- desconectar_minha_conexao_google() roda como dono da tabela (SECURITY DEFINER), e a checagem 'só pode apagar a própria linha' vira uma comparação explícita em PL/pgSQL. Migração 20260804010000. PROVADO com login real do Matheus em produção: cliquei Desconectar de verdade e confirmei com a service role que a linha realmente sumiu (não só que a chamada voltou 204) -- antes e depois do publish, para garantir que o código publicado usa o caminho novo. Reconectei ao final para não deixar a integração dele desligada; aviso: cada reconexão cria uma agenda 'Métrica Humana' nova no Google dele (o código sempre fez isso, não é regressão desta correção) -- ficaram 2 agendas órfãs no Google dele por causa dos testes desta demanda, sem risco (dados intactos), que ele pode apagar quando quiser em calendar.google.com.</t>
        </is>
      </c>
    </row>
    <row r="248">
      <c r="A248" s="9" t="n">
        <v>247</v>
      </c>
      <c r="B248" s="9" t="inlineStr">
        <is>
          <t>Mentorias Fatia 4b: bloqueio pela agenda pessoal e cancelar/remarcar</t>
        </is>
      </c>
      <c r="C248" s="9" t="inlineStr">
        <is>
          <t>Consultar o Google freebusy do professor antes de mostrar horário livre, e as chaves opcionais de cancelar e remarcar pelo próprio aluno.</t>
        </is>
      </c>
      <c r="D248" s="9" t="inlineStr">
        <is>
          <t>Plataforma</t>
        </is>
      </c>
      <c r="E248" s="9" t="inlineStr">
        <is>
          <t>Em andamento</t>
        </is>
      </c>
      <c r="F248" s="9" t="n">
        <v>247</v>
      </c>
      <c r="G248" s="9" t="n"/>
      <c r="H248" s="9" t="inlineStr">
        <is>
          <t>Matheus, 04/08: detalhamento do link de auto-agendamento</t>
        </is>
      </c>
      <c r="I248" s="9" t="inlineStr">
        <is>
          <t>PARTE 1 (bloqueio pela agenda pessoal) CONCLUÍDA E PROVADA em produção 04/08. Resumo: (a)(b) escopo calendar.freebusy adicionado ao ESCOPO do app, publicado; (c) Matheus reconectou; efeito colateral: reconectar cria agenda nova no Google a cada vez (2ª órfã), registrado #249, decisão do Matheus: deixar como está; descoberta automática dos calendários da conta REMOVIDA (calendarList.list exige escopo que o app não pede, nunca funcionaria) — pergunta sobre quais calendários existem fica para o Matheus responder direto, não é mais bloqueio técnico; (d) consulta freebusy implementada (bloqueiosGoogleDoLink), consulta só o calendário 'primary' (o principal/pessoal), uma chamada por janela, degrada sem derrubar o link se o Google falhar. TESTE DECISIVO #1 falhou: Google devolvia 403 ACCESS_TOKEN_SCOPE_INSUFFICIENT — causa raiz: calendar.freebusy nunca tinha sido cadastrado na tela 'Acesso a dados' do Google Cloud Console do projeto (bug meu, não do Matheus) — cadastrei eu mesmo (mudança reversível, só declarativa) e reconectei o Matheus de novo (3ª órfã, mesma decisão de ignorar). TESTE DECISIVO #2 PASSOU: horário real ocupado (PREPARAR AULA T1, qua 05/08 15h-18h, mais outro compromisso 14h-15h) sumiu do link com a chave ligada; voltou a aparecer com a chave desligada. Dados de teste limpos, nenhuma sessão real criada. PARTE 2 (cancelar/remarcar pelo aluno) ainda não começou — regra do Matheus, uma parte por vez.</t>
        </is>
      </c>
    </row>
    <row r="249">
      <c r="A249" s="9" t="n">
        <v>248</v>
      </c>
      <c r="B249" s="9" t="inlineStr">
        <is>
          <t>Fatia 4c-A: quem e o professor e ONDE e a sessao</t>
        </is>
      </c>
      <c r="C249" s="9" t="inlineStr">
        <is>
          <t>Foto e nome do professor na pagina de agendamento, e local ou link de chamada definidos POR LINK (decisao do Matheus, 05/08). ACHADO NA INVESTIGACAO: hoje toda sessao criada pelo link nasce com modalidade 'online' CRAVADA no codigo (agendamento.functions.ts:642 e :1222), sem local e sem link de chamada - o aluno agenda e nao sabe onde e, tem de perguntar por WhatsApp. Nao e acabamento: e buraco. Formulario personalizavel e lembretes por e-mail sairam desta fatia.</t>
        </is>
      </c>
      <c r="D249" s="9" t="inlineStr">
        <is>
          <t>Agenda</t>
        </is>
      </c>
      <c r="E249" s="9" t="inlineStr">
        <is>
          <t>Concluído</t>
        </is>
      </c>
      <c r="F249" s="9" t="n">
        <v>248</v>
      </c>
      <c r="G249" s="9" t="inlineStr">
        <is>
          <t>Claude</t>
        </is>
      </c>
      <c r="H249" s="9" t="inlineStr">
        <is>
          <t>Matheus, 04/08: mapeou as funções da tela de agendamento do Google</t>
        </is>
      </c>
      <c r="I249" s="9" t="inlineStr">
        <is>
          <t>Commit 4b874c5, publicado e confirmado no bundle em produção (o CDN do domínio próprio demorou uns 15min pra atualizar depois do publish — não confundir com falha). Checklist provado em assessment.metodointencao.com.br com o link teste-mentoria: (1) link Presencial com endereço -&gt; sessão nasceu com o endereço, /sessao/$id mostrou certo; (2) link trocado pra Online com sala -&gt; sessão d084556c nasceu com a sala, conferido no banco; (3) TESTE QUE DECIDE: remarcada a sessão 86b38dea pra outro dia -&gt; modalidade/local/link_url continuaram intactos (remarcacoes:1, mesma sala), confirmado no banco e na tela; (4) foto+nome do professor aparecem em /agendar/teste-mentoria numa janela sem login; (5) conferido campo a campo a resposta de dadosDoLink e dadosDaSessao -- nenhum devolve mentor_id, CNPJ ou e-mail; (6) link novo sem nada preenchido continua funcionando, cai no texto "Online" de reserva. Ressalva: o e-mail de confirmação foi conferido pelo código (mesma função ondeTexto da tela) e por ter sido aceito sem erro no envio, mas não abri a caixa de entrada real. Dados de teste (3 sessões + 1 link descartável) apagados e conferidos no banco; os 2 eventos que foram parar no Google Agenda do Matheus foram removidos via cancelamento antes de apagar (não pela exclusão direta) -- sem fantasma.</t>
        </is>
      </c>
    </row>
    <row r="250">
      <c r="A250" s="9" t="n">
        <v>249</v>
      </c>
      <c r="B250" s="9" t="inlineStr">
        <is>
          <t>Reconectar o Google cria uma agenda nova em vez de reaproveitar a existente</t>
        </is>
      </c>
      <c r="C250" s="9" t="inlineStr">
        <is>
          <t>Ao reconectar em 04/08 (para ganhar o escopo freebusy da Fatia 4b), a plataforma criou um calendário NOVO no Google em vez de reaproveitar o que já existia. O calendar_id mudou de c_aaf7392... para c_1161d7f..., e o evento de mentoria que estava no antigo ficou órfão — a plataforma não o alcança mais, então cancelar aquela sessão não apaga mais o evento do Google.</t>
        </is>
      </c>
      <c r="D250" s="9" t="inlineStr">
        <is>
          <t>Agenda</t>
        </is>
      </c>
      <c r="E250" s="9" t="inlineStr">
        <is>
          <t>Concluído</t>
        </is>
      </c>
      <c r="F250" s="9" t="n">
        <v>249</v>
      </c>
      <c r="G250" s="9" t="n"/>
      <c r="H250" s="9" t="inlineStr">
        <is>
          <t>Conferência do chat, 04/08, ao validar a reconexão da Fatia 4b</t>
        </is>
      </c>
      <c r="I250" s="9" t="inlineStr">
        <is>
          <t>Nova tabela google_agendas_criadas (mentor_id, calendar_id) guarda a agenda criada uma única vez, e SOBREVIVE a desconectar/reconectar (diferente de google_conexoes, apagada de propósito ao desconectar). No callback OAuth, antes de criar, confere se a agenda lembrada ainda existe no Google (GET /calendars/{id}); só cria outra se não existir mais (404) ou se não houver nenhuma registrada. calendar.app.created não permite listar as agendas que a própria plataforma criou (conferido na documentação oficial do Google), então a saída foi a plataforma lembrar sozinha, sem pedir escopo novo. TESTE DECISIVO em produção com login real: desconectei e reconectei o Google do Matheus — na 1ª tentativa achei um bug (erro do Google mal classificado como 'não existe mais' criou uma agenda a mais, a 4ª órfã); corrigi (distinguir 404 de outros erros + checar erro do upsert de memória, que estava silencioso) e testei de novo: o calendar_id ficou EXATAMENTE o mesmo antes e depois de reconectar. Nenhuma 5ª agenda órfã criada. As órfãs já existentes (decisão do Matheus) não foram tocadas.</t>
        </is>
      </c>
    </row>
    <row r="251">
      <c r="A251" s="9" t="n">
        <v>250</v>
      </c>
      <c r="B251" s="9" t="inlineStr">
        <is>
          <t>Disponibilidade: adicionar faixa direto no dia, como no Google</t>
        </is>
      </c>
      <c r="C251" s="9" t="inlineStr">
        <is>
          <t>A função de ter mais de uma faixa por dia EXISTE e funciona — mas a tela esconde. Cada dia mostra só 'Sem atendimento', e o único jeito de criar a primeira faixa é o botão 'Adicionar faixa' no canto superior, longe dos dias. O Matheus olhou a lista, tentou clicar nos dias (como faria no Google) e não achou. Como deve ficar: cada dia com os campos de hora na própria linha e um '+' ao lado para adicionar outra faixa — igual à tela de 'Disponibilidade geral' do Google Calendar que ele mapeou.</t>
        </is>
      </c>
      <c r="D251" s="9" t="inlineStr">
        <is>
          <t>Agenda</t>
        </is>
      </c>
      <c r="E251" s="9" t="inlineStr">
        <is>
          <t>Concluído</t>
        </is>
      </c>
      <c r="F251" s="9" t="n">
        <v>250</v>
      </c>
      <c r="G251" s="9" t="n"/>
      <c r="H251" s="9" t="inlineStr">
        <is>
          <t>Matheus, 04/08: 'aparece os dias mas eu não consigo alterar a disponibilidade de nenhum deles'</t>
        </is>
      </c>
      <c r="I251" s="9" t="inlineStr">
        <is>
          <t>Cada dia da semana agora tem um + na própria linha. Clicar cria a faixa na hora, com horário padrão sensato (9h-12h se o dia está vazio; 2h de intervalo + 4h de duração depois da última faixa existente). O botão 'Adicionar faixa' e o diálogo modal com seletor de dia foram removidos — não fazem mais falta. TESTE DECISIVO: testado localmente numa conta 100% nova (nunca viu a tela) E em produção na conta real do Matheus — segunda-feira 9h-12h e 14h-18h, exatamente o enunciado, em 2 cliques, sem sair da linha do dia, sem editar nada manualmente (o padrão da 2ª faixa já caiu certo). Editar hora e remover faixa testados e funcionando. Dados de teste removidos depois.</t>
        </is>
      </c>
    </row>
    <row r="252">
      <c r="A252" s="9" t="n">
        <v>251</v>
      </c>
      <c r="B252" s="9" t="inlineStr">
        <is>
          <t>Menu Agenda: botão 'Criar' com opção de evento ou link de agendamento</t>
        </is>
      </c>
      <c r="C252" s="9" t="inlineStr">
        <is>
          <t>Hoje o botão do menu Agenda é 'Novo evento' e só cria evento. Passa a se chamar 'Criar' e abre um submenu com duas opções: criar um evento, ou criar um link de agendamento. O link hoje só é alcançável por Mentorias → Agendamento.</t>
        </is>
      </c>
      <c r="D252" s="9" t="inlineStr">
        <is>
          <t>Agenda</t>
        </is>
      </c>
      <c r="E252" s="9" t="inlineStr">
        <is>
          <t>Concluído</t>
        </is>
      </c>
      <c r="F252" s="9" t="n">
        <v>251</v>
      </c>
      <c r="G252" s="9" t="n"/>
      <c r="H252" s="9" t="inlineStr">
        <is>
          <t>Matheus, 04/08</t>
        </is>
      </c>
      <c r="I252" s="9" t="inlineStr">
        <is>
          <t>Botão 'Novo evento' virou 'Criar', com submenu: 'Criar evento' (o mesmo diálogo de sempre, só que agora controlado de fora) e 'Criar link de agendamento' (leva para a aba Links de Mentorias → Agendamento — não duplica formulário nenhum). Testado local e em produção (conta real do Matheus): os dois itens aparecem e funcionam — 'Criar evento' abre o formulário de sempre, 'Criar link de agendamento' navega para a tela certa, já com o botão 'Criar link' visível.</t>
        </is>
      </c>
    </row>
    <row r="253">
      <c r="A253" s="9" t="n">
        <v>252</v>
      </c>
      <c r="B253" s="9" t="inlineStr">
        <is>
          <t>Página de agendamento do aluno: calendário no lugar da lista de dias</t>
        </is>
      </c>
      <c r="C253" s="9" t="inlineStr">
        <is>
          <t>Hoje a página /agendar/$slug lista TODOS os dias da janela como pastilhas empilhadas — com antecedência de 60 dias são mais de 40 botões antes de o aluno chegar aos horários. Trocar por um seletor de calendário no formato do Google Agenda: calendário mensal com os dias sem disponibilidade apagados, faixa de dias navegável, horários ao lado, fuso declarado e atalho para a próxima data livre. Só layout — o servidor já devolve todos os dias e horários.</t>
        </is>
      </c>
      <c r="D253" s="9" t="inlineStr">
        <is>
          <t>Agenda</t>
        </is>
      </c>
      <c r="E253" s="9" t="inlineStr">
        <is>
          <t>Concluído</t>
        </is>
      </c>
      <c r="F253" s="9" t="n">
        <v>252</v>
      </c>
      <c r="G253" s="9" t="n"/>
      <c r="H253" s="9" t="inlineStr">
        <is>
          <t>Matheus, 05/08 — criou o primeiro link real e viu a tela</t>
        </is>
      </c>
      <c r="I253" s="9" t="inlineStr">
        <is>
          <t>Entregue pelo Code em 05/08, commit f4e0152. Calendário mensal com navegação travada nas duas pontas, dia sem disponibilidade não clicável, faixa de 7 dias sincronizada, fuso declarado e atalho para a próxima data livre. Mobile em 2 colunas sem scroll lateral. Provado em produção com o link real: uma sessão foi agendada de ponta a ponta pela interface nova e apareceu certo em Mentorias e no Google Agenda — o fluxo antigo não regrediu. Sessão de teste apagada depois.</t>
        </is>
      </c>
    </row>
    <row r="254">
      <c r="A254" s="9" t="n">
        <v>253</v>
      </c>
      <c r="B254" s="9" t="inlineStr">
        <is>
          <t>BUG BLOQUEANTE: não é possível criar grupo (RLS barra o RETURNING do INSERT)</t>
        </is>
      </c>
      <c r="C254" s="9" t="inlineStr">
        <is>
          <t>Criar grupo devolve 'new row violates row-level security policy for table groups'. A policy de INSERT está correta e as duas condições dela dão true. O que barra é o RETURNING: `createGroup` faz .insert().select().single(), e o Postgres aplica a policy de SELECT (grupos_read) na linha devolvida. grupos_read chama posso_ver_grupo(id), que é STABLE e lê a PRÓPRIA tabela groups — com o snapshot congelado do início do comando, a linha recém-criada ainda não existe para ela. É o irmão do bug já corrigido em 20260729010000_corrige_policy_autoreferente.sql. Provado nos dois caminhos: pela tela (produção, conta do Matheus) e por INSERT simulado no SQL com role authenticated — sem RETURNING passa, com RETURNING falha.</t>
        </is>
      </c>
      <c r="D254" s="9" t="inlineStr">
        <is>
          <t>Grupos</t>
        </is>
      </c>
      <c r="E254" s="9" t="inlineStr">
        <is>
          <t>Concluído</t>
        </is>
      </c>
      <c r="F254" s="9" t="n">
        <v>253</v>
      </c>
      <c r="G254" s="9" t="n"/>
      <c r="H254" s="9" t="inlineStr">
        <is>
          <t>Matheus, 05/08 — tentou criar um grupo</t>
        </is>
      </c>
      <c r="I254" s="9" t="inlineStr">
        <is>
          <t>Corrigido no commit 243e808, só banco (supabase/migrations/20260805040000_corrige_grupos_read_autoreferente.sql), sem código de aplicação. Reproduzido o bug antes (insert sem RETURNING passa, com RETURNING falha) e o depois (os dois passam) via SQL simulado com o JWT do Matheus. Provado em produção com login real: criei 'Turma Teste' pela tela de verdade (assistente de 4 passos, Fulado de Tal + Laila Ferreira, teste DISC liberado) — apareceu na lista e abriu com membros/instrumento certos. TESTE DECISIVO: logado como o colaborador matheusgc321@gmail.com, ele vê a Turma Teste. Confirmado que Gabriela (aluna com login real, fora do grupo) não vê nenhum grupo com o próprio token — RLS barrando quem não deve ver. 'Turma Teste' ficou criada de propósito para as #118/#120/#121. Varredura das outras policies STABLE achou o mesmo padrão autorreferente em biblioteca_materiais, eventos, evento_destinos, treinamentos e treinamento_grupos — testei os 3 caminhos de criar-com-RETURNING que existem hoje e nenhum falhou, diferente de groups; fica registrado como risco preventivo, sem urgência. CONFERÊNCIA DO CHAT: rodei o bloco de prova por conta própria — INSERT com RETURNING, que falhava, agora PASSA (id devolvido). E a policy nova NÃO ficou mais frouxa: um usuário autenticado sem nenhum vínculo com a conta vê 0 grupos. Turma Teste existe com 2 pessoas e 1 instrumento. Migração só de banco, publicada.</t>
        </is>
      </c>
    </row>
    <row r="255">
      <c r="A255" s="9" t="n">
        <v>254</v>
      </c>
      <c r="B255" s="9" t="inlineStr">
        <is>
          <t>Fatia 4b Parte 2: aluno cancela e remarca sozinho</t>
        </is>
      </c>
      <c r="C255" s="9" t="inlineStr">
        <is>
          <t>O aluno recebe no e-mail de confirmação um link para gerenciar a sessão: cancelar ou escolher outro horário, sem login. Cada link de agendamento ganha dois campos novos: prazo mínimo em horas para desmarcar, e número máximo de remarcações permitidas. O professor é avisado por e-mail e por notificação na plataforma. A conta do pacote já devolve a vaga sozinha ao cancelar — não muda.</t>
        </is>
      </c>
      <c r="D255" s="9" t="inlineStr">
        <is>
          <t>Agenda</t>
        </is>
      </c>
      <c r="E255" s="9" t="inlineStr">
        <is>
          <t>Concluído</t>
        </is>
      </c>
      <c r="F255" s="9" t="n">
        <v>254</v>
      </c>
      <c r="G255" s="9" t="n"/>
      <c r="H255" s="9" t="inlineStr">
        <is>
          <t>Matheus, 05/08 — decisões tomadas no chat</t>
        </is>
      </c>
      <c r="I255" s="9" t="inlineStr">
        <is>
          <t>Passo A (commit 635f9d3) e Passo B (commit ddcafb4), publicados e provados em produção com o link real do Matheus (teste-mentoria, 24h de prazo, 2 remarcações no máximo). /sessao/$id abre sem login. Cancelar: recusado a menos de 24h da sessão (testado com sessão real a 21h de distância); dentro do prazo, cancela, libera a vaga no pacote, apaga o evento do Google e avisa o professor (e-mail + notificação). Remarcar: 1ª e 2ª funcionam (horário muda, evento do Google atualiza sem duplicar); a 3ª é recusada com 'Você já remarcou esta sessão 2 vezes' — o teste decisivo, batido especificamente pelo TETO e não pelo prazo (sessão a mais de 7 dias de distância). Desligando as duas chaves do link, a página volta a recusar os dois botões. Achado e corrigido no caminho: a tela do professor não indicava visualmente uma sessão cancelada (commit 297f85b). Dados de teste e evento de teste no Google apagados depois de confirmado. CONFERÊNCIA INDEPENDENTE DO CHAT (05/08): o Code não conseguiu testar por fora da tela e declarou a ressalva. O chat conseguiu — formato é POST /_serverFn/&lt;hash&gt; com corpo Seroval e header x-tsr-serverfn:true. As três travas foram isoladas mexendo só no banco entre chamadas: controle liberado devolveu 200 com horários (22.989 bytes); interruptor desligado barrou pelo interruptor; prazo de 100h com sessão a ~56h barrou pelo prazo; remarcacoes=2 com teto=2 barrou pelo teto. Cada uma pelo motivo certo. A trava é do servidor. Código: calcularElegibilidade e exigirElegibilidade são a mesma regra com dois usos, chamada nos 3 pontos que agem (:928, :973, :1000), com .eq('status','agendada') no UPDATE contra corrida. Banco restaurado ao estado original.</t>
        </is>
      </c>
    </row>
    <row r="256">
      <c r="A256" s="9" t="n">
        <v>255</v>
      </c>
      <c r="B256" s="9" t="inlineStr">
        <is>
          <t>Painel do aluno: botão 'Agendar mentoria' com o mesmo fluxo do link</t>
        </is>
      </c>
      <c r="C256" s="9" t="inlineStr">
        <is>
          <t>No menu Mentorias do aluno, um botão 'Agendar mentoria'. Só funciona se ele tiver sessões a realizar no pacote (faltam &gt; 0); sem saldo, fica desabilitado explicando o motivo. Ao clicar, abre a mesma escolha de dia e hora do link público — mas por dentro, sem pedir e-mail, porque ele já está logado. O link usado é o que o professor apontou ao criar o pacote (campo novo em mentorias). O aluno logado também cancela e remarca por ali, com as mesmas regras de prazo e teto da #254.</t>
        </is>
      </c>
      <c r="D256" s="9" t="inlineStr">
        <is>
          <t>Agenda</t>
        </is>
      </c>
      <c r="E256" s="9" t="inlineStr">
        <is>
          <t>Concluído</t>
        </is>
      </c>
      <c r="F256" s="9" t="n">
        <v>255</v>
      </c>
      <c r="G256" s="9" t="n">
        <v>254</v>
      </c>
      <c r="H256" s="9" t="inlineStr">
        <is>
          <t>Matheus, 05/08</t>
        </is>
      </c>
      <c r="I256" s="9" t="inlineStr">
        <is>
          <t>Entregue pelo Code em 05/08, commit 3789e8d. CONFERÊNCIA DO CHAT: a defesa contra um aluno alcançar o pacote de outro é SÓLIDA, mas mora na RLS, não no código novo — a policy people_self_read é 'user_id = auth.uid()', então um aluno enxerga exatamente uma linha em people: a dele. Confirmado no banco. RESSALVA NA PROVA: o Code diz ter testado 'com aluno logado de verdade' usando a 'Fulado de Tal', que é o PRÓPRIO MATHEUS (matheusguedes@metodointencao.com.br, papel DONO). O outro pacote ('start') é de uma pessoa SEM login. O único aluno real com login (Gabriela) tem 0 pacotes. Ou seja: o cenário que decide — aluno real tentando alcançar pacote alheio — não foi exercitado, por falta de dado, não por descuido. Mesmo padrão da auditoria de 03/08. Achado adicional: pessoaIdsDoAluno usa .not('user_id','is',null) sem filtrar por auth.uid(); para aluno a RLS já limita a 1, mas para dono/colaborador devolve todos os com login — vira #258.</t>
        </is>
      </c>
    </row>
    <row r="257">
      <c r="A257" s="9" t="n">
        <v>256</v>
      </c>
      <c r="B257" s="9" t="inlineStr">
        <is>
          <t>Classroom: marcar aula gravada como concluída (e aí avaliar)</t>
        </is>
      </c>
      <c r="C257" s="9" t="inlineStr">
        <is>
          <t>Aula sem horário marcado não tem 'acabou' pelo relógio. O Matheus escolheu liberar a avaliação por conclusão — mas 'concluir aula' NÃO EXISTE no Classroom hoje, só na Academy (learning_progress). São duas coisas: criar a marcação de conclusão, e usar isso para liberar a avaliação. Antes de virar prompt, decidir se a conclusão do Classroom reaproveita learning_progress ou nasce própria — é escolha de arquitetura, não de tela.</t>
        </is>
      </c>
      <c r="D257" s="9" t="inlineStr">
        <is>
          <t>Classroom</t>
        </is>
      </c>
      <c r="E257" s="9" t="inlineStr">
        <is>
          <t>Planejado</t>
        </is>
      </c>
      <c r="F257" s="9" t="n">
        <v>256</v>
      </c>
      <c r="G257" s="9" t="n">
        <v>231</v>
      </c>
      <c r="H257" s="9" t="inlineStr">
        <is>
          <t>Matheus, 05/08</t>
        </is>
      </c>
      <c r="I257" s="9" t="n"/>
    </row>
    <row r="258">
      <c r="A258" s="9" t="n">
        <v>257</v>
      </c>
      <c r="B258" s="9" t="inlineStr">
        <is>
          <t>Professor não consegue cancelar nem remarcar sessão pela tela dele</t>
        </is>
      </c>
      <c r="C258" s="9" t="inlineStr">
        <is>
          <t>Em Mentorias → aluno, a sessão agendada só oferece 'Marcar como concluída'. Não há como cancelar nem remarcar. ACHADO: cancelarSessaoMentoria JÁ EXISTE no servidor, completa e com sincronização do Google (mentorias.functions.ts:278) — falta só o botão. Remarcar não existe em lugar nenhum. As regras de prazo e teto da #254 valem para o ALUNO, não para o professor: ele é o dono da agenda e desmarca a qualquer momento. Ao cancelar, campo de motivo opcional que vai no e-mail ao aluno. Ao remarcar, o professor escolhe qualquer horário livre, sem ficar preso à grade de disponibilidade — a grade existe para conter o aluno, não ele.</t>
        </is>
      </c>
      <c r="D258" s="9" t="inlineStr">
        <is>
          <t>Plataforma</t>
        </is>
      </c>
      <c r="E258" s="9" t="inlineStr">
        <is>
          <t>Concluído</t>
        </is>
      </c>
      <c r="F258" s="9" t="n">
        <v>257</v>
      </c>
      <c r="G258" s="9" t="n">
        <v>254</v>
      </c>
      <c r="H258" s="9" t="inlineStr">
        <is>
          <t>Matheus, 05/08 — foi usar e não achou o botão</t>
        </is>
      </c>
      <c r="I258" s="9" t="inlineStr">
        <is>
          <t>Entregue pelo Code em 05/08, commit a20e1d0, provado em produção na conta e sessões reais do Matheus. TESTE DECISIVO: sessão a menos de 24h ligada a um link com prazo de 24h — o cancelamento pelo professor passou, confirmando que exigirElegibilidade (regra do aluno) nunca é chamada no caminho do professor. Cancelar com motivo e sem motivo: e-mail sai com/sem a frase do motivo, sessão risca como 'Cancelada por você', evento do Google some, 'faltam agendar' sobe. Remarcar 3 vezes seguidas: remarcacoes ficou em 0 nas 3 vezes (o contador é só do aluno); depois o aluno remarcou pelo próprio link e aí sim remarcacoes subiu para 1, confirmando que os dois caminhos não se misturam. Evento do Google: mesma linha (mesmo id e google_event_id) nas 3 remarcações do professor — moveu, não duplicou. Sessão já concluída: sem os botões. Achado de passagem, não corrigido aqui: agendarSessao rejeita 'Link da chamada' vazio (Zod só libera undefined, não string vazia) — sessão presencial sem link falha ao salvar. Achado de passagem #2: o campo 'Link de agendamento' da #255 grava certo tanto ao criar quanto ao editar o pacote, sem ressalva. Dados de teste apagados; link 'teste-mentoria' voltou ao estado original (permite_remarcar=false). CONFERÊNCIA DO CHAT: exigirElegibilidade NÃO vaza para o professor (só nas 3 funções do aluno, linhas 950/995/1022, com comentário documentando a decisão em :1265). remarcacoes só é incrementado em remarcarSessaoAluno (:1043) — o professor não mexe no contador do aluno. cancelamento_motivo e avisarAluno existem. Banco de sessões limpo e link restaurado. RESSALVA NÃO DECLARADA no relato: 'qualquer horário livre' virou, no código, uma janela FIXA de 07:00 às 21:00 por 90 dias (JANELA_PROFESSOR_*). É razoável ter limite, mas não é o que foi pedido — sessão às 22h ou 06h fica inalcançável. Decidir se fica ou vira configurável. SEGUNDA RESSALVA: o relato diz que os avisos de teste foram apagados; duas notificações 'Fulado de Tal remarcou a sessão TESTE MENTORIA' (02:31 e 02:32) continuam no sino.</t>
        </is>
      </c>
    </row>
    <row r="259">
      <c r="A259" s="9" t="n">
        <v>258</v>
      </c>
      <c r="B259" s="9" t="inlineStr">
        <is>
          <t>Endurecer pessoaIdsDoAluno: filtrar por auth.uid(), não só por ter login</t>
        </is>
      </c>
      <c r="C259" s="9" t="inlineStr">
        <is>
          <t>Em agendamento.functions.ts, pessoaIdsDoAluno sem preview faz people.select('id').not('user_id','is',null) e devolve TODAS as pessoas com login que o solicitante enxerga. Para um aluno a RLS (people_self_read: user_id = auth.uid()) já limita a 1, então não há vazamento entre alunos — confirmado no banco. Mas para o DONO ou um COLABORADOR abrindo o próprio painel de aluno, a lista traz todas as pessoas com login da conta, o que permite agendar no pacote de outra pessoa sem passar pelo 'Ver como aluno'. O correto é filtrar por user_id = auth.uid(). Não é buraco de segurança hoje: é frouxidão que depende da RLS para não virar um. Se alguma policy de people mudar amanhã, esta função vira a porta.</t>
        </is>
      </c>
      <c r="D259" s="9" t="inlineStr">
        <is>
          <t>Segurança / RLS</t>
        </is>
      </c>
      <c r="E259" s="9" t="inlineStr">
        <is>
          <t>Concluído</t>
        </is>
      </c>
      <c r="F259" s="9" t="n">
        <v>258</v>
      </c>
      <c r="G259" s="9" t="n"/>
      <c r="H259" s="9" t="inlineStr">
        <is>
          <t>Conferência do chat sobre a #255, 05/08</t>
        </is>
      </c>
      <c r="I259" s="9" t="inlineStr">
        <is>
          <t>Commit b535f68. Trocado o filtro por user_id = context.userId (= auth.uid()) em pessoaIdsDoAluno (agendamento.functions.ts). Mesma correção aplicada em getStudentArea (student.functions.ts) — a tela principal do painel do aluno tinha o mesmo padrão, achado ao ler o arquivo completo antes de mexer. Caminho de preview não foi tocado. Provado em produção: dono no próprio /aluno/mentorias sem preview passou a ver só o pacote de Fulado de Tal (a única pessoa cujo user_id é o uid dele); antes trazia todo mundo com login da conta. Agendar pelo painel e 'Ver como aluno' testados e intactos, local e produção.</t>
        </is>
      </c>
    </row>
    <row r="260">
      <c r="A260" s="9" t="n">
        <v>259</v>
      </c>
      <c r="B260" s="9" t="inlineStr">
        <is>
          <t>Agendar sessão manual falha em silêncio quando 'Link da chamada' fica em branco</t>
        </is>
      </c>
      <c r="C260" s="9" t="inlineStr">
        <is>
          <t>Na tela do pacote de mentoria, botão 'Agendar sessão': deixando o campo 'Link da chamada' vazio, o salvamento falha sem mostrar erro nenhum — o professor clica, nada acontece, e ele não sabe por quê. Campo opcional que trava a tela é pior que campo obrigatório, porque ninguém adivinha o que fazer. Achado pelo Code durante a #257, fora do escopo dela. Ele avisou que registraria e não registrou — quem registrou foi o chat, na conferência.</t>
        </is>
      </c>
      <c r="D260" s="9" t="inlineStr">
        <is>
          <t>Plataforma</t>
        </is>
      </c>
      <c r="E260" s="9" t="inlineStr">
        <is>
          <t>Concluído</t>
        </is>
      </c>
      <c r="F260" s="9" t="n">
        <v>259</v>
      </c>
      <c r="G260" s="9" t="n"/>
      <c r="H260" s="9" t="inlineStr">
        <is>
          <t>Claude Code, 05/08 — achado de passagem na #257</t>
        </is>
      </c>
      <c r="I260" s="9" t="inlineStr">
        <is>
          <t>Commit 95dafbf. link_url trocou de z.string().trim().url().max(1000) para urlOpcional (url-segura.ts) — mesma validação já usada em avatar_url/capa_url/cover_url/video_url: "" vale como "sem link". Provado em produção: agendar online com link vazio salva certo (link_url null) e a sessão aparece na lista; com link preenchido continua funcionando; URL mal formada de verdade ainda mostra algo na tela (não fica mudo), só que em formato de JSON cru do Zod — padrão repetido em todo inputValidator da plataforma, fora do escopo desta demanda pontual. Varredura da mesma tela achou link_id (editar pacote) com o mesmo formato de schema, mas o frontend já manda null antes de enviar — sem bug ativo, só a mesma fragilidade latente; registrado, não corrigido.</t>
        </is>
      </c>
    </row>
    <row r="261">
      <c r="A261" s="9" t="n">
        <v>260</v>
      </c>
      <c r="B261" s="9" t="inlineStr">
        <is>
          <t>Mais 5 tabelas com o mesmo padrão autorreferente da #253</t>
        </is>
      </c>
      <c r="C261" s="9" t="inlineStr">
        <is>
          <t>A varredura feita durante a #253 achou a mesma estrutura arriscada — policy de SELECT que chama função STABLE lendo a PRÓPRIA tabela — em biblioteca_materiais, eventos, evento_destinos, treinamentos e treinamento_grupos. O Code testou os três caminhos que hoje rodam esse tipo de operação (criar evento, criar treinamento, enviar material) e nenhum falhou. Ou seja: a bomba existe mas não está armada nessas cinco. O que NÃO foi respondido, e é a pergunta que importa: POR QUE groups falhava e essas não? Sem essa resposta não dá para saber se estão seguras ou apenas sortudas — e a diferença é o dia em que alguém acrescentar um RETURNING numa delas.</t>
        </is>
      </c>
      <c r="D261" s="9" t="inlineStr">
        <is>
          <t>Segurança / RLS</t>
        </is>
      </c>
      <c r="E261" s="9" t="inlineStr">
        <is>
          <t>Planejado</t>
        </is>
      </c>
      <c r="F261" s="9" t="n">
        <v>260</v>
      </c>
      <c r="G261" s="9" t="n"/>
      <c r="H261" s="9" t="inlineStr">
        <is>
          <t>Claude Code, 05/08 — varredura pedida na #253</t>
        </is>
      </c>
      <c r="I261" s="9" t="n"/>
    </row>
    <row r="262">
      <c r="A262" s="9" t="n">
        <v>261</v>
      </c>
      <c r="B262" s="9" t="inlineStr">
        <is>
          <t>Marca do mentor na tela de login: o mecanismo, provado numa tela</t>
        </is>
      </c>
      <c r="C262" s="9" t="inlineStr">
        <is>
          <t>Hoje logo, nome, frase, rodapé e cor de fundo da tela de login estão CRAVADOS em auth.tsx:130-141. Passam a vir das Configurações de marca. Decisão do Matheus (05/08): a tela pública descobre de quem é a marca PELO ENDEREÇO do site — tabela dominios_conta, hoje com uma linha, para o segundo cliente não virar cirurgia. Campos novos em profiles: login_imagem_url, login_frase, login_rodape (todos opcionais; sem imagem o painel volta ao fundo sólido na cor da marca). O ENDPOINT É PÚBLICO: devolver lista fechada de campos, nunca profiles inteiro — ele guarda CNPJ e e-mails internos. Bucket 'marca' é privado: seguir o padrão de api.icone.$tamanho.ts, não inventar outro. Fallback obrigatório para host desconhecido (preview do Lovable). Ver docs/plano-marca-publica.md.</t>
        </is>
      </c>
      <c r="D262" s="9" t="inlineStr">
        <is>
          <t>Plataforma</t>
        </is>
      </c>
      <c r="E262" s="9" t="inlineStr">
        <is>
          <t>Planejado</t>
        </is>
      </c>
      <c r="F262" s="9" t="n">
        <v>261</v>
      </c>
      <c r="G262" s="9" t="n"/>
      <c r="H262" s="9" t="inlineStr">
        <is>
          <t>Matheus, 05/08</t>
        </is>
      </c>
      <c r="I262" s="9" t="n"/>
    </row>
    <row r="263">
      <c r="A263" s="9" t="n">
        <v>262</v>
      </c>
      <c r="B263" s="9" t="inlineStr">
        <is>
          <t>Espalhar a marca para as demais telas públicas</t>
        </is>
      </c>
      <c r="C263" s="9" t="inlineStr">
        <is>
          <t>Aplicar o mecanismo da #261 em /criar-senha, /aluno/criar-senha, /convite-equipe, /checkin, /agendar/$slug e /sessao/$id — o que o Matheus pediu: alterar em Configurações e refletir em tudo. Trabalho pequeno DEPOIS da #261, e só pequeno por causa dela. Encosta na #108 (selo no rodapé das públicas), que lista quase as mesmas telas: resolver as duas juntas em vez de passar duas vezes pelos mesmos arquivos. Encosta também na #248 (Fatia 4c), que prevê foto e nome na página de agendamento — se esta vier antes, a 4c herda pronto.</t>
        </is>
      </c>
      <c r="D263" s="9" t="inlineStr">
        <is>
          <t>Plataforma</t>
        </is>
      </c>
      <c r="E263" s="9" t="inlineStr">
        <is>
          <t>Planejado</t>
        </is>
      </c>
      <c r="F263" s="9" t="n">
        <v>262</v>
      </c>
      <c r="G263" s="9" t="n">
        <v>261</v>
      </c>
      <c r="H263" s="9" t="inlineStr">
        <is>
          <t>Matheus, 05/08</t>
        </is>
      </c>
      <c r="I263" s="9" t="n"/>
    </row>
    <row r="264">
      <c r="A264" s="9" t="n">
        <v>263</v>
      </c>
      <c r="B264" s="9" t="inlineStr">
        <is>
          <t>Erro de validação aparece como código bruto em toda a plataforma</t>
        </is>
      </c>
      <c r="C264" s="9" t="inlineStr">
        <is>
          <t>Quando um campo com validação Zod recusa o valor (ex.: link mal formado em 'Link da chamada'), a mensagem chega à tela em formato de código, não em português legível. Não é de um campo: repete em qualquer formulário da plataforma que use o mesmo caminho de erro. Achado pelo Code durante a #259, fora do escopo. Ele avisou que anotaria no Notion — não anotou; quem registrou foi o chat, na conferência (quarta vez que isso acontece). O conserto é um tradutor de erro no ponto onde a mensagem vira toast, não campo a campo — senão vira 40 consertos iguais.</t>
        </is>
      </c>
      <c r="D264" s="9" t="inlineStr">
        <is>
          <t>Plataforma</t>
        </is>
      </c>
      <c r="E264" s="9" t="inlineStr">
        <is>
          <t>Planejado</t>
        </is>
      </c>
      <c r="F264" s="9" t="n">
        <v>263</v>
      </c>
      <c r="G264" s="9" t="n"/>
      <c r="H264" s="9" t="inlineStr">
        <is>
          <t>Claude Code, 05/08 — achado de passagem na #259</t>
        </is>
      </c>
      <c r="I264" s="9" t="n"/>
    </row>
    <row r="265">
      <c r="A265" s="9" t="n">
        <v>264</v>
      </c>
      <c r="B265" s="9" t="inlineStr">
        <is>
          <t>URGENTE: o dono pode se convidar como mentor e derruba a própria conta</t>
        </is>
      </c>
      <c r="C265" s="9" t="inlineStr">
        <is>
          <t>Em 05/08 às 12:16 nasceu uma linha em team_members com owner_id = user_id = o Matheus e kind='mentor' — ele se convidou como mentor convidado da própria conta, pela tela de Colaboradores (a pessoa 'Fulado de Tal' é o e-mail principal dele). Ao entrar, claim_team_membership associou o user_id, member_kind() passou a devolver 'mentor', e TODAS as policies com 'AND member_kind() &lt;&gt; mentor' passaram a barrá-lo: perdeu criar, editar e apagar em quase tudo, e visible_group_ids() devolveu só os grupos atribuídos a ele (nenhum). CONSERTO EMERGENCIAL DO CHAT: a linha foi posta em status 'inativo' (não apagada), e member_kind() voltou a 'owner' — confirmado por simulação SQL. Mas a tela continua permitindo refazer, e reativar a linha quebra tudo de novo. PRECISA DE DUAS DEFESAS: (1) a tela recusa convidar alguém cujo user_id é o dono da conta; (2) mais importante, acting_account() e member_kind() IGNORAM linha onde user_id = owner_id — o dono nunca é membro de si mesmo. A segunda vale mais que a primeira: mesmo que a linha exista por qualquer caminho, o sistema não se autodestrói. É o terceiro incidente de permissão em uma semana (30/07 imagens, 31/07 login).</t>
        </is>
      </c>
      <c r="D265" s="9" t="inlineStr">
        <is>
          <t>Equipe / Permissões</t>
        </is>
      </c>
      <c r="E265" s="9" t="inlineStr">
        <is>
          <t>Concluído</t>
        </is>
      </c>
      <c r="F265" s="9" t="n">
        <v>264</v>
      </c>
      <c r="G265" s="9" t="n"/>
      <c r="H265" s="9" t="inlineStr">
        <is>
          <t>Matheus, 05/08 — perdeu o acesso de dono ao entrar</t>
        </is>
      </c>
      <c r="I265" s="9" t="inlineStr">
        <is>
          <t>Entregue pelo Code em 05/08. CONFERÊNCIA DO CHAT — os dois lados provados por simulação SQL, em transação com rollback: (1) COM A LINHA DO INCIDENTE REATIVADA, o Matheus continua 'owner', com 1 grupo e 7 pessoas visíveis — o piso funciona, o estado inválido é ignorado mesmo quando existe e está ativo; (2) um mentor convidado DE VERDADE (owner_id &lt;&gt; user_id, testado com o user real do colaborador) continua 'mentor', apontando para a conta certa e limitado a 0 grupos — a condição NÃO ficou larga demais, que era o risco de escrever a defesa errada. Migração 20260805050000, com a condição exatamente 'tm.user_id &lt;&gt; tm.owner_id' em acting_account() e member_kind(). O Code ainda achou e fechou dois irmãos do mesmo bug: aceitar convite endereçado à própria conta, e o selo 'É mentor' na ficha considerando linha inativa. Linha do incidente segue guardada e inativa.</t>
        </is>
      </c>
    </row>
    <row r="266">
      <c r="A266" s="9" t="n">
        <v>265</v>
      </c>
      <c r="B266" s="9" t="inlineStr">
        <is>
          <t>Login por e-mail estava desligado no Supabase - so Google entrava</t>
        </is>
      </c>
      <c r="C266" s="9" t="inlineStr">
        <is>
          <t>A chave 'Enable email provider' estava DESLIGADA no painel. A descricao dela e literal: 'Allow email-based sign up AND log in' - fechava cadastro E login. Ninguem entrava com e-mail e senha: nem colaborador, nem aluno. So quem usava Google. O Matheus entra pelo Google, por isso ninguem tinha notado. CAUSA: ao fechar o cadastro publico (decisao certa), foi desligada a chave errada. A correta e 'Allow new users to sign up', que continuava LIGADA - o cadastro publico nunca esteve fechado de fato. RESPONSABILIDADE DO CHAT: em 03/08 registrei no CLAUDE.md que 'a criacao de conta dentro da plataforma esta intacta', tendo testado so o signup publico e o admin/generate_link - nenhum dos dois e o caminho que um colaborador percorre. Terceira vez testando os extremos e nao o meio (#245, #254). Virou regra no CLAUDE.md.</t>
        </is>
      </c>
      <c r="D266" s="9" t="inlineStr">
        <is>
          <t>Infra</t>
        </is>
      </c>
      <c r="E266" s="9" t="inlineStr">
        <is>
          <t>Concluído</t>
        </is>
      </c>
      <c r="F266" s="9" t="n">
        <v>265</v>
      </c>
      <c r="G266" s="9" t="inlineStr">
        <is>
          <t>Matheus</t>
        </is>
      </c>
      <c r="H266" s="9" t="inlineStr">
        <is>
          <t>Matheus, 05/08 - colaborador novo nao conseguiu entrar</t>
        </is>
      </c>
      <c r="I266" s="9" t="inlineStr">
        <is>
          <t>Matheus aplicou no painel em 05/08. CONFERIDO PELO CHAT por fora, com a chave anonima - e a prova esta na TROCA da mensagem de erro: (1) criar conta como estranho devolve agora 'signup_disabled - Signups not allowed for this instance'; antes devolvia 'email_provider_disabled'. A troca do codigo prova que quem fecha agora e o CADASTRO, nao o e-mail. (2) login com senha errada devolve 'invalid_credentials', ou seja, o servidor FOI CONFERIR a senha - se o provedor ainda estivesse desligado, teria recusado antes de olhar. NAO CONFERIDO daqui: cadastro via Google; a chave e global e vale para todos os provedores, mas testar OAuth por fora exigiria navegador com conta Google de terceiro.</t>
        </is>
      </c>
    </row>
    <row r="267">
      <c r="A267" s="9" t="n">
        <v>266</v>
      </c>
      <c r="B267" s="9" t="inlineStr">
        <is>
          <t>Fatia 4c-B: lembrete por e-mail antes da sessao</t>
        </is>
      </c>
      <c r="C267" s="9" t="inlineStr">
        <is>
          <t>Aviso por e-mail antes da sessao, para reduzir falta. NAO E RETOQUE - exige agendador que a plataforma nao tem. O aviso de vespera atual (20260730330000) e so do SINO, calculado na leitura, e cobre apenas aula e devolutiva; nao cobre mentoria vinda de link. O proprio comentario da migracao diz: 'Para e-mail seria o certo [usar cron]'. Precisa de pg_cron ou equivalente - peca de infraestrutura nova, com risco proprio. Decidir antes: quantos lembretes (24h? 1h? os dois?) e se o e-mail carrega o local, que depende da 4c-A estar pronta.</t>
        </is>
      </c>
      <c r="D267" s="9" t="inlineStr">
        <is>
          <t>Agenda</t>
        </is>
      </c>
      <c r="E267" s="9" t="inlineStr">
        <is>
          <t>Planejado</t>
        </is>
      </c>
      <c r="F267" s="9" t="n">
        <v>266</v>
      </c>
      <c r="G267" s="9" t="n">
        <v>248</v>
      </c>
      <c r="H267" s="9" t="inlineStr">
        <is>
          <t>Matheus, 05/08 - fatiado da 4c</t>
        </is>
      </c>
      <c r="I267" s="9" t="n"/>
    </row>
    <row r="268">
      <c r="A268" s="9" t="n">
        <v>267</v>
      </c>
      <c r="B268" s="9" t="inlineStr">
        <is>
          <t>Fatia 4c-C: formulario de reserva personalizavel</t>
        </is>
      </c>
      <c r="C268" s="9" t="inlineStr">
        <is>
          <t>Perguntas proprias no momento do agendamento ('o que voce quer tratar nesta sessao?'). Adiado por decisao do Matheus em 05/08: com sete alunos, e o unico item da 4c que nao destrava nada - nem o encontro acontecer, nem a falta diminuir. Volta quando houver volume que justifique.</t>
        </is>
      </c>
      <c r="D268" s="9" t="inlineStr">
        <is>
          <t>Agenda</t>
        </is>
      </c>
      <c r="E268" s="9" t="inlineStr">
        <is>
          <t>Planejado</t>
        </is>
      </c>
      <c r="F268" s="9" t="n">
        <v>267</v>
      </c>
      <c r="G268" s="9" t="n"/>
      <c r="H268" s="9" t="inlineStr">
        <is>
          <t>Matheus, 05/08 - fatiado da 4c</t>
        </is>
      </c>
      <c r="I268" s="9" t="n"/>
    </row>
  </sheetData>
  <autoFilter ref="A1:I268"/>
  <conditionalFormatting sqref="A2:I268">
    <cfRule type="expression" priority="1" dxfId="0" stopIfTrue="0">
      <formula>$E2="Planejado"</formula>
    </cfRule>
    <cfRule type="expression" priority="2" dxfId="1" stopIfTrue="0">
      <formula>$E2="Em andamento"</formula>
    </cfRule>
    <cfRule type="expression" priority="3" dxfId="2" stopIfTrue="0">
      <formula>$E2="Concluído"</formula>
    </cfRule>
    <cfRule type="expression" priority="4" dxfId="3" stopIfTrue="0">
      <formula>$E2="Precisa de melhorias"</formula>
    </cfRule>
  </conditionalFormatting>
  <dataValidations count="1">
    <dataValidation sqref="E2:E268" showDropDown="0" showInputMessage="0" showErrorMessage="0" allowBlank="0" errorTitle="Status inválido" error="Use um dos quatro status do quadro." type="list">
      <formula1>"Planejado,Em andamento,Concluído,Precisa de melhorias"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Como esta planilha funciona</t>
        </is>
      </c>
    </row>
    <row r="2">
      <c r="A2" s="11" t="inlineStr"/>
    </row>
    <row r="3">
      <c r="A3" s="11" t="inlineStr">
        <is>
          <t>A aba Demandas é a fonte. A aba Kanban é só uma vista: ela se remonta sozinha</t>
        </is>
      </c>
    </row>
    <row r="4">
      <c r="A4" s="11" t="inlineStr">
        <is>
          <t>quando você muda o Status. Não digite nada direto no quadro — some na próxima</t>
        </is>
      </c>
    </row>
    <row r="5">
      <c r="A5" s="11" t="inlineStr">
        <is>
          <t>atualização.</t>
        </is>
      </c>
    </row>
    <row r="6">
      <c r="A6" s="11" t="inlineStr"/>
    </row>
    <row r="7">
      <c r="A7" s="10" t="inlineStr">
        <is>
          <t>Os quatro status</t>
        </is>
      </c>
    </row>
    <row r="8">
      <c r="A8" s="11" t="inlineStr">
        <is>
          <t>Planejado — pedido registrado, ainda não começou.</t>
        </is>
      </c>
    </row>
    <row r="9">
      <c r="A9" s="11" t="inlineStr">
        <is>
          <t>Em andamento — está sendo construído agora.</t>
        </is>
      </c>
    </row>
    <row r="10">
      <c r="A10" s="11" t="inlineStr">
        <is>
          <t>Concluído — no ar e conferido na plataforma.</t>
        </is>
      </c>
    </row>
    <row r="11">
      <c r="A11" s="11" t="inlineStr">
        <is>
          <t>Precisa de melhorias — entregue, mas com ressalva: algo pela metade, um bug</t>
        </is>
      </c>
    </row>
    <row r="12">
      <c r="A12" s="11" t="inlineStr">
        <is>
          <t>conhecido, ou não testado com usuário real. A coluna 'Prova / ressalva' diz o quê.</t>
        </is>
      </c>
    </row>
    <row r="13">
      <c r="A13" s="11" t="inlineStr"/>
    </row>
    <row r="14">
      <c r="A14" s="10" t="inlineStr">
        <is>
          <t>De quem depende</t>
        </is>
      </c>
    </row>
    <row r="15">
      <c r="A15" s="11" t="inlineStr">
        <is>
          <t>Claude — é meu, eu faço.</t>
        </is>
      </c>
    </row>
    <row r="16">
      <c r="A16" s="11" t="inlineStr">
        <is>
          <t>Matheus — decisão sua, senha sua, ou configuração fora da plataforma.</t>
        </is>
      </c>
    </row>
    <row r="17">
      <c r="A17" s="11" t="inlineStr">
        <is>
          <t>Depende de dados — só faz sentido quando houver amostra real na base.</t>
        </is>
      </c>
    </row>
    <row r="18">
      <c r="A18" s="11" t="inlineStr"/>
    </row>
    <row r="19">
      <c r="A19" s="10" t="inlineStr">
        <is>
          <t>Quem atualiza</t>
        </is>
      </c>
    </row>
    <row r="20">
      <c r="A20" s="11" t="inlineStr">
        <is>
          <t>Eu atualizo esta planilha sempre que uma demanda mudar de estado no nosso</t>
        </is>
      </c>
    </row>
    <row r="21">
      <c r="A21" s="11" t="inlineStr">
        <is>
          <t>trabalho, e você pode pedir 'atualize o kanban' a qualquer momento. Eu não rodo</t>
        </is>
      </c>
    </row>
    <row r="22">
      <c r="A22" s="11" t="inlineStr">
        <is>
          <t>sozinho o dia inteiro — então 'tempo real' aqui quer dizer: a cada sessão em que</t>
        </is>
      </c>
    </row>
    <row r="23">
      <c r="A23" s="11" t="inlineStr">
        <is>
          <t>mexermos em algo, e sempre no fim de uma entrega.</t>
        </is>
      </c>
    </row>
    <row r="24">
      <c r="A24" s="11" t="inlineStr"/>
    </row>
    <row r="25">
      <c r="A25" s="11" t="inlineStr">
        <is>
          <t>Você pode editar à vontade: mover status, mudar prioridade, escrever nas células.</t>
        </is>
      </c>
    </row>
    <row r="26">
      <c r="A26" s="11" t="inlineStr">
        <is>
          <t>Eu leio a planilha antes de atualizar, então o que você escrever não se perde.</t>
        </is>
      </c>
    </row>
    <row r="27">
      <c r="A27" s="11" t="inlineStr"/>
    </row>
    <row r="28">
      <c r="A28" s="11" t="inlineStr">
        <is>
          <t>Gerada em 05/08/2026 · 267 demandas · fonte no repo: scripts/kanban_dados.json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2026-08-05T17:12:18Z</dcterms:created>
  <dcterms:modified xsi:type="dcterms:W3CDTF">2026-08-05T17:12:18Z</dcterms:modified>
</cp:coreProperties>
</file>